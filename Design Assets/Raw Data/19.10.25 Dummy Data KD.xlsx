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dcypresenergyltd-my.sharepoint.com/personal/konstantin_cypresenergy_com/Documents/Constantinos Danos/Career/Training/Coding/Python/RFT 2026/Design Assets/Raw Data/"/>
    </mc:Choice>
  </mc:AlternateContent>
  <xr:revisionPtr revIDLastSave="1" documentId="8_{113B7D1F-9BEB-4F9B-B722-ECC317BEF7B4}" xr6:coauthVersionLast="47" xr6:coauthVersionMax="47" xr10:uidLastSave="{9CE28835-CBA1-4F7B-856D-B9EDCD435C30}"/>
  <bookViews>
    <workbookView xWindow="28680" yWindow="-120" windowWidth="29040" windowHeight="15720" xr2:uid="{76C8D4FE-E604-44D6-9AF4-1E358EE84D07}"/>
  </bookViews>
  <sheets>
    <sheet name="Sheet1" sheetId="1" r:id="rId1"/>
  </sheets>
  <definedNames>
    <definedName name="_xlnm._FilterDatabase" localSheetId="0" hidden="1">Sheet1!$B$4:$K$411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M16" i="1"/>
  <c r="N23" i="1"/>
  <c r="M1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5" i="1"/>
  <c r="AC22" i="1"/>
  <c r="AC23" i="1"/>
  <c r="AC24" i="1"/>
  <c r="AC7" i="1"/>
  <c r="AC8" i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5" i="1"/>
</calcChain>
</file>

<file path=xl/sharedStrings.xml><?xml version="1.0" encoding="utf-8"?>
<sst xmlns="http://schemas.openxmlformats.org/spreadsheetml/2006/main" count="3197" uniqueCount="69">
  <si>
    <t>TVDSL</t>
  </si>
  <si>
    <t>Formation Pressure</t>
  </si>
  <si>
    <t>Mobility</t>
  </si>
  <si>
    <t>Result</t>
  </si>
  <si>
    <t>Comments</t>
  </si>
  <si>
    <t>MD</t>
  </si>
  <si>
    <t>Run</t>
  </si>
  <si>
    <t>Temperature</t>
  </si>
  <si>
    <t>Well</t>
  </si>
  <si>
    <t>(m)</t>
  </si>
  <si>
    <t>(psia)</t>
  </si>
  <si>
    <t>(md/cp)</t>
  </si>
  <si>
    <t>mRT</t>
  </si>
  <si>
    <t>(°C)</t>
  </si>
  <si>
    <t>Tight</t>
  </si>
  <si>
    <t>Exclude-Tight</t>
  </si>
  <si>
    <t>2C</t>
  </si>
  <si>
    <t>Exclude-No P</t>
  </si>
  <si>
    <t>Good</t>
  </si>
  <si>
    <t>Include</t>
  </si>
  <si>
    <t xml:space="preserve"> </t>
  </si>
  <si>
    <t>LS</t>
  </si>
  <si>
    <t>Tight Test</t>
  </si>
  <si>
    <t>1B</t>
  </si>
  <si>
    <t>Good Test</t>
  </si>
  <si>
    <t>Exclude-Multiple</t>
  </si>
  <si>
    <t>Repeat Test</t>
  </si>
  <si>
    <t>No / Lost Seal</t>
  </si>
  <si>
    <t>Aborted</t>
  </si>
  <si>
    <t>Supercharged</t>
  </si>
  <si>
    <t>Exclude-SC</t>
  </si>
  <si>
    <t>Questionable Mobilities</t>
  </si>
  <si>
    <t>Exclude-Unreliable</t>
  </si>
  <si>
    <t>Exclude-Aborted</t>
  </si>
  <si>
    <t>1C</t>
  </si>
  <si>
    <t>NA</t>
  </si>
  <si>
    <t>Post sample repeat</t>
  </si>
  <si>
    <t>Not Stable</t>
  </si>
  <si>
    <t>Sample-Water</t>
  </si>
  <si>
    <t>Sample-Oil</t>
  </si>
  <si>
    <t>-</t>
  </si>
  <si>
    <t>Sample-Gas</t>
  </si>
  <si>
    <t>Well-1</t>
  </si>
  <si>
    <t>Well-2</t>
  </si>
  <si>
    <t>Well-3</t>
  </si>
  <si>
    <t>Excess Pressure</t>
  </si>
  <si>
    <t>Well-4</t>
  </si>
  <si>
    <t/>
  </si>
  <si>
    <t>Depth</t>
  </si>
  <si>
    <t>ft</t>
  </si>
  <si>
    <t>Pressure</t>
  </si>
  <si>
    <t>psia</t>
  </si>
  <si>
    <t xml:space="preserve">Weight </t>
  </si>
  <si>
    <t>Depth (TVD)</t>
  </si>
  <si>
    <t>Form. Pr.</t>
  </si>
  <si>
    <t>Measured Depth</t>
  </si>
  <si>
    <t>Well Name</t>
  </si>
  <si>
    <t>Original Data</t>
  </si>
  <si>
    <t>Conversion Data</t>
  </si>
  <si>
    <t>Modified Data</t>
  </si>
  <si>
    <t>lbm</t>
  </si>
  <si>
    <t>Length</t>
  </si>
  <si>
    <t>Text</t>
  </si>
  <si>
    <t>Color Data</t>
  </si>
  <si>
    <t>(bara)</t>
  </si>
  <si>
    <t>Aw1</t>
  </si>
  <si>
    <t>Aw2</t>
  </si>
  <si>
    <t>Aw-3</t>
  </si>
  <si>
    <t>Aw-5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</si>
</sst>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12A2-BC1F-44BE-B550-D10497B1457B}">
  <dimension ref="A1:AD411"/>
  <sheetViews>
    <sheetView showGridLines="0" tabSelected="1" topLeftCell="E1" workbookViewId="0">
      <selection activeCell="R16" sqref="R16"/>
    </sheetView>
  </sheetViews>
  <sheetFormatPr defaultColWidth="9.140625" defaultRowHeight="15.75" x14ac:dyDescent="0.25"/>
  <cols>
    <col min="1" max="2" width="9.140625" style="1"/>
    <col min="3" max="3" width="18.140625" style="1" bestFit="1" customWidth="1"/>
    <col min="4" max="4" width="15.140625" style="1" bestFit="1" customWidth="1"/>
    <col min="5" max="14" width="9.140625" style="1"/>
    <col min="15" max="15" width="9.28515625" style="1" customWidth="1"/>
    <col min="16" max="17" width="9.140625" style="1"/>
    <col min="18" max="18" width="15.140625" style="1" bestFit="1" customWidth="1"/>
    <col min="19" max="19" width="11.28515625" style="1" bestFit="1" customWidth="1"/>
    <col min="20" max="16384" width="9.140625" style="1"/>
  </cols>
  <sheetData>
    <row r="1" spans="1:30" x14ac:dyDescent="0.25">
      <c r="R1" s="1" t="s">
        <v>61</v>
      </c>
      <c r="S1" s="1" t="s">
        <v>50</v>
      </c>
      <c r="T1" s="1" t="s">
        <v>50</v>
      </c>
      <c r="U1" s="1" t="s">
        <v>2</v>
      </c>
      <c r="V1" s="1" t="s">
        <v>62</v>
      </c>
      <c r="W1" s="1" t="s">
        <v>62</v>
      </c>
      <c r="X1" s="1" t="s">
        <v>61</v>
      </c>
      <c r="Y1" s="1" t="s">
        <v>62</v>
      </c>
      <c r="Z1" s="1" t="s">
        <v>7</v>
      </c>
      <c r="AA1" s="1" t="s">
        <v>8</v>
      </c>
    </row>
    <row r="2" spans="1:30" x14ac:dyDescent="0.25">
      <c r="B2" s="2" t="s">
        <v>57</v>
      </c>
      <c r="N2" s="2" t="s">
        <v>58</v>
      </c>
      <c r="R2" s="2" t="s">
        <v>59</v>
      </c>
      <c r="AC2" s="1" t="s">
        <v>63</v>
      </c>
    </row>
    <row r="3" spans="1:30" x14ac:dyDescent="0.25">
      <c r="B3" s="3" t="s">
        <v>0</v>
      </c>
      <c r="C3" s="3" t="s">
        <v>1</v>
      </c>
      <c r="D3" s="3" t="s">
        <v>45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N3" s="3" t="s">
        <v>48</v>
      </c>
      <c r="O3" s="3" t="s">
        <v>50</v>
      </c>
      <c r="P3" s="3" t="s">
        <v>52</v>
      </c>
      <c r="R3" s="3" t="s">
        <v>53</v>
      </c>
      <c r="S3" s="3" t="s">
        <v>54</v>
      </c>
      <c r="T3" s="3" t="s">
        <v>45</v>
      </c>
      <c r="U3" s="3" t="s">
        <v>2</v>
      </c>
      <c r="V3" s="3" t="s">
        <v>3</v>
      </c>
      <c r="W3" s="3" t="s">
        <v>4</v>
      </c>
      <c r="X3" s="3" t="s">
        <v>55</v>
      </c>
      <c r="Y3" s="3" t="s">
        <v>6</v>
      </c>
      <c r="Z3" s="3" t="s">
        <v>7</v>
      </c>
      <c r="AA3" s="3" t="s">
        <v>56</v>
      </c>
      <c r="AC3" s="3" t="s">
        <v>0</v>
      </c>
      <c r="AD3" s="3" t="s">
        <v>1</v>
      </c>
    </row>
    <row r="4" spans="1:30" ht="16.5" thickBot="1" x14ac:dyDescent="0.3">
      <c r="B4" s="4" t="s">
        <v>9</v>
      </c>
      <c r="C4" s="4" t="s">
        <v>10</v>
      </c>
      <c r="D4" s="4">
        <v>347.66995735055872</v>
      </c>
      <c r="E4" s="4" t="s">
        <v>11</v>
      </c>
      <c r="F4" s="4"/>
      <c r="G4" s="4"/>
      <c r="H4" s="4" t="s">
        <v>12</v>
      </c>
      <c r="I4" s="4"/>
      <c r="J4" s="4" t="s">
        <v>13</v>
      </c>
      <c r="K4" s="4"/>
      <c r="N4" s="4" t="s">
        <v>49</v>
      </c>
      <c r="O4" s="4" t="s">
        <v>51</v>
      </c>
      <c r="P4" s="4" t="s">
        <v>60</v>
      </c>
      <c r="R4" s="4" t="s">
        <v>9</v>
      </c>
      <c r="S4" s="4" t="s">
        <v>10</v>
      </c>
      <c r="T4" s="4">
        <v>347.66995735055872</v>
      </c>
      <c r="U4" s="4" t="s">
        <v>11</v>
      </c>
      <c r="V4" s="4"/>
      <c r="W4" s="4"/>
      <c r="X4" s="4" t="s">
        <v>12</v>
      </c>
      <c r="Y4" s="4"/>
      <c r="Z4" s="4" t="s">
        <v>13</v>
      </c>
      <c r="AA4" s="4"/>
      <c r="AC4" s="4" t="s">
        <v>9</v>
      </c>
      <c r="AD4" s="4" t="s">
        <v>64</v>
      </c>
    </row>
    <row r="5" spans="1:30" ht="16.5" thickTop="1" x14ac:dyDescent="0.25">
      <c r="A5" s="1">
        <f>1+A4</f>
        <v>1</v>
      </c>
      <c r="B5" s="1">
        <v>85.488000000000014</v>
      </c>
      <c r="C5" s="1">
        <v>320.80799999999994</v>
      </c>
      <c r="D5" s="1">
        <v>-13.740558973330678</v>
      </c>
      <c r="E5" s="1">
        <v>74.900000000000006</v>
      </c>
      <c r="F5" s="1" t="s">
        <v>14</v>
      </c>
      <c r="G5" s="1" t="s">
        <v>15</v>
      </c>
      <c r="H5" s="1">
        <v>487.2</v>
      </c>
      <c r="I5" s="1" t="s">
        <v>16</v>
      </c>
      <c r="J5" s="1">
        <v>55.8</v>
      </c>
      <c r="K5" s="1" t="s">
        <v>42</v>
      </c>
      <c r="N5" s="1">
        <v>10</v>
      </c>
      <c r="O5" s="1">
        <v>14.5</v>
      </c>
      <c r="P5" s="1">
        <v>1</v>
      </c>
      <c r="R5" s="1">
        <v>18.135000000000019</v>
      </c>
      <c r="S5" s="1">
        <v>384.9695999999999</v>
      </c>
      <c r="T5" s="1">
        <v>-13.740558973330678</v>
      </c>
      <c r="U5" s="1">
        <v>74.900000000000006</v>
      </c>
      <c r="V5" s="1" t="s">
        <v>14</v>
      </c>
      <c r="W5" s="1" t="s">
        <v>15</v>
      </c>
      <c r="X5" s="1">
        <v>487.2</v>
      </c>
      <c r="Y5" s="1" t="s">
        <v>16</v>
      </c>
      <c r="Z5" s="1">
        <v>50.22</v>
      </c>
      <c r="AA5" s="1" t="s">
        <v>65</v>
      </c>
      <c r="AC5" s="1">
        <v>1</v>
      </c>
      <c r="AD5" s="1">
        <f>+AC5*2</f>
        <v>2</v>
      </c>
    </row>
    <row r="6" spans="1:30" x14ac:dyDescent="0.25">
      <c r="A6" s="1">
        <f t="shared" ref="A6:A69" si="0">1+A5</f>
        <v>2</v>
      </c>
      <c r="B6" s="1">
        <v>91.00200000000001</v>
      </c>
      <c r="C6" s="1" t="s">
        <v>47</v>
      </c>
      <c r="D6" s="1">
        <v>-561.36902913695553</v>
      </c>
      <c r="F6" s="1" t="s">
        <v>14</v>
      </c>
      <c r="G6" s="1" t="s">
        <v>17</v>
      </c>
      <c r="H6" s="1">
        <v>496.5</v>
      </c>
      <c r="I6" s="1" t="s">
        <v>16</v>
      </c>
      <c r="J6" s="1">
        <v>56.1</v>
      </c>
      <c r="K6" s="1" t="s">
        <v>42</v>
      </c>
      <c r="N6" s="1">
        <v>100</v>
      </c>
      <c r="O6" s="1">
        <v>145</v>
      </c>
      <c r="P6" s="1">
        <v>10</v>
      </c>
      <c r="R6" s="1">
        <v>23.649000000000015</v>
      </c>
      <c r="S6" s="1" t="e">
        <v>#VALUE!</v>
      </c>
      <c r="T6" s="1">
        <v>-561.36902913695553</v>
      </c>
      <c r="V6" s="1" t="s">
        <v>14</v>
      </c>
      <c r="W6" s="1" t="s">
        <v>17</v>
      </c>
      <c r="X6" s="1">
        <v>496.5</v>
      </c>
      <c r="Y6" s="1" t="s">
        <v>16</v>
      </c>
      <c r="Z6" s="1">
        <v>50.49</v>
      </c>
      <c r="AA6" s="1" t="s">
        <v>65</v>
      </c>
      <c r="AC6" s="1">
        <f>+AC5+1</f>
        <v>2</v>
      </c>
      <c r="AD6" s="1">
        <f t="shared" ref="AD6:AD24" si="1">+AC6*2</f>
        <v>4</v>
      </c>
    </row>
    <row r="7" spans="1:30" x14ac:dyDescent="0.25">
      <c r="A7" s="1">
        <f t="shared" si="0"/>
        <v>3</v>
      </c>
      <c r="B7" s="1">
        <v>93.354000000000013</v>
      </c>
      <c r="C7" s="1">
        <v>333.11400000000003</v>
      </c>
      <c r="D7" s="1">
        <v>-11.702206834606102</v>
      </c>
      <c r="E7" s="1">
        <v>227</v>
      </c>
      <c r="F7" s="1" t="s">
        <v>18</v>
      </c>
      <c r="G7" s="1" t="s">
        <v>19</v>
      </c>
      <c r="H7" s="1">
        <v>500.3</v>
      </c>
      <c r="I7" s="1" t="s">
        <v>16</v>
      </c>
      <c r="J7" s="1">
        <v>56.6</v>
      </c>
      <c r="K7" s="1" t="s">
        <v>42</v>
      </c>
      <c r="N7" s="1">
        <v>1000</v>
      </c>
      <c r="O7" s="1">
        <v>1450</v>
      </c>
      <c r="P7" s="1">
        <v>100</v>
      </c>
      <c r="R7" s="1">
        <v>26.001000000000019</v>
      </c>
      <c r="S7" s="1">
        <v>399.73680000000002</v>
      </c>
      <c r="T7" s="1">
        <v>-11.702206834606102</v>
      </c>
      <c r="U7" s="1">
        <v>227</v>
      </c>
      <c r="V7" s="1" t="s">
        <v>18</v>
      </c>
      <c r="W7" s="1" t="s">
        <v>19</v>
      </c>
      <c r="X7" s="1">
        <v>500.3</v>
      </c>
      <c r="Y7" s="1" t="s">
        <v>16</v>
      </c>
      <c r="Z7" s="1">
        <v>50.94</v>
      </c>
      <c r="AA7" s="1" t="s">
        <v>65</v>
      </c>
      <c r="AC7" s="1">
        <f t="shared" ref="AC7:AC24" si="2">+AC6+1</f>
        <v>3</v>
      </c>
      <c r="AD7" s="1">
        <f t="shared" si="1"/>
        <v>6</v>
      </c>
    </row>
    <row r="8" spans="1:30" x14ac:dyDescent="0.25">
      <c r="A8" s="1">
        <f t="shared" si="0"/>
        <v>4</v>
      </c>
      <c r="B8" s="1">
        <v>294.75599999999997</v>
      </c>
      <c r="C8" s="1" t="s">
        <v>47</v>
      </c>
      <c r="D8" s="1">
        <v>-1039.8424766739929</v>
      </c>
      <c r="E8" s="1" t="s">
        <v>20</v>
      </c>
      <c r="F8" s="1" t="s">
        <v>14</v>
      </c>
      <c r="G8" s="1" t="s">
        <v>17</v>
      </c>
      <c r="H8" s="1">
        <v>836</v>
      </c>
      <c r="I8" s="1" t="s">
        <v>16</v>
      </c>
      <c r="J8" s="1">
        <v>64.8</v>
      </c>
      <c r="K8" s="1" t="s">
        <v>42</v>
      </c>
      <c r="R8" s="1">
        <v>227.40299999999996</v>
      </c>
      <c r="S8" s="1" t="e">
        <v>#VALUE!</v>
      </c>
      <c r="T8" s="1">
        <v>-1039.8424766739929</v>
      </c>
      <c r="U8" s="1" t="s">
        <v>20</v>
      </c>
      <c r="V8" s="1" t="s">
        <v>14</v>
      </c>
      <c r="W8" s="1" t="s">
        <v>17</v>
      </c>
      <c r="X8" s="1">
        <v>836</v>
      </c>
      <c r="Y8" s="1" t="s">
        <v>16</v>
      </c>
      <c r="Z8" s="1">
        <v>58.32</v>
      </c>
      <c r="AA8" s="1" t="s">
        <v>65</v>
      </c>
      <c r="AC8" s="1">
        <f t="shared" si="2"/>
        <v>4</v>
      </c>
      <c r="AD8" s="1">
        <f t="shared" si="1"/>
        <v>8</v>
      </c>
    </row>
    <row r="9" spans="1:30" x14ac:dyDescent="0.25">
      <c r="A9" s="1">
        <f t="shared" si="0"/>
        <v>5</v>
      </c>
      <c r="B9" s="1">
        <v>294.99599999999998</v>
      </c>
      <c r="C9" s="1" t="s">
        <v>47</v>
      </c>
      <c r="D9" s="1">
        <v>-1040.4060662349777</v>
      </c>
      <c r="E9" s="1" t="s">
        <v>20</v>
      </c>
      <c r="F9" s="1" t="s">
        <v>14</v>
      </c>
      <c r="G9" s="1" t="s">
        <v>17</v>
      </c>
      <c r="H9" s="1">
        <v>836.4</v>
      </c>
      <c r="I9" s="1" t="s">
        <v>16</v>
      </c>
      <c r="J9" s="1">
        <v>64.7</v>
      </c>
      <c r="K9" s="1" t="s">
        <v>42</v>
      </c>
      <c r="R9" s="1">
        <v>227.64299999999997</v>
      </c>
      <c r="S9" s="1" t="e">
        <v>#VALUE!</v>
      </c>
      <c r="T9" s="1">
        <v>-1040.4060662349777</v>
      </c>
      <c r="U9" s="1" t="s">
        <v>20</v>
      </c>
      <c r="V9" s="1" t="s">
        <v>14</v>
      </c>
      <c r="W9" s="1" t="s">
        <v>17</v>
      </c>
      <c r="X9" s="1">
        <v>836.4</v>
      </c>
      <c r="Y9" s="1" t="s">
        <v>16</v>
      </c>
      <c r="Z9" s="1">
        <v>58.23</v>
      </c>
      <c r="AA9" s="1" t="s">
        <v>65</v>
      </c>
      <c r="AC9" s="1">
        <f t="shared" si="2"/>
        <v>5</v>
      </c>
      <c r="AD9" s="1">
        <f t="shared" si="1"/>
        <v>10</v>
      </c>
    </row>
    <row r="10" spans="1:30" x14ac:dyDescent="0.25">
      <c r="A10" s="1">
        <f t="shared" si="0"/>
        <v>6</v>
      </c>
      <c r="B10" s="1">
        <v>299.27999999999997</v>
      </c>
      <c r="C10" s="1" t="s">
        <v>47</v>
      </c>
      <c r="D10" s="1">
        <v>-1050.4661398985556</v>
      </c>
      <c r="F10" s="1" t="s">
        <v>14</v>
      </c>
      <c r="G10" s="1" t="s">
        <v>17</v>
      </c>
      <c r="H10" s="1">
        <v>843.5</v>
      </c>
      <c r="I10" s="1" t="s">
        <v>16</v>
      </c>
      <c r="J10" s="1">
        <v>64.5</v>
      </c>
      <c r="K10" s="1" t="s">
        <v>42</v>
      </c>
      <c r="R10" s="1">
        <v>231.92699999999996</v>
      </c>
      <c r="S10" s="1" t="e">
        <v>#VALUE!</v>
      </c>
      <c r="T10" s="1">
        <v>-1050.4661398985556</v>
      </c>
      <c r="V10" s="1" t="s">
        <v>14</v>
      </c>
      <c r="W10" s="1" t="s">
        <v>17</v>
      </c>
      <c r="X10" s="1">
        <v>843.5</v>
      </c>
      <c r="Y10" s="1" t="s">
        <v>16</v>
      </c>
      <c r="Z10" s="1">
        <v>58.05</v>
      </c>
      <c r="AA10" s="1" t="s">
        <v>65</v>
      </c>
      <c r="AC10" s="1">
        <f t="shared" si="2"/>
        <v>6</v>
      </c>
      <c r="AD10" s="1">
        <f t="shared" si="1"/>
        <v>12</v>
      </c>
    </row>
    <row r="11" spans="1:30" x14ac:dyDescent="0.25">
      <c r="A11" s="1">
        <f t="shared" si="0"/>
        <v>7</v>
      </c>
      <c r="B11" s="1">
        <v>299.58</v>
      </c>
      <c r="C11" s="1" t="s">
        <v>47</v>
      </c>
      <c r="D11" s="1">
        <v>-1051.1706268497865</v>
      </c>
      <c r="F11" s="1" t="s">
        <v>14</v>
      </c>
      <c r="G11" s="1" t="s">
        <v>17</v>
      </c>
      <c r="H11" s="1">
        <v>844</v>
      </c>
      <c r="I11" s="1" t="s">
        <v>16</v>
      </c>
      <c r="J11" s="1">
        <v>64.5</v>
      </c>
      <c r="K11" s="1" t="s">
        <v>42</v>
      </c>
      <c r="R11" s="1">
        <v>232.22699999999998</v>
      </c>
      <c r="S11" s="1" t="e">
        <v>#VALUE!</v>
      </c>
      <c r="T11" s="1">
        <v>-1051.1706268497865</v>
      </c>
      <c r="V11" s="1" t="s">
        <v>14</v>
      </c>
      <c r="W11" s="1" t="s">
        <v>17</v>
      </c>
      <c r="X11" s="1">
        <v>844</v>
      </c>
      <c r="Y11" s="1" t="s">
        <v>16</v>
      </c>
      <c r="Z11" s="1">
        <v>58.05</v>
      </c>
      <c r="AA11" s="1" t="s">
        <v>65</v>
      </c>
      <c r="AC11" s="1">
        <f t="shared" si="2"/>
        <v>7</v>
      </c>
      <c r="AD11" s="1">
        <f t="shared" si="1"/>
        <v>14</v>
      </c>
    </row>
    <row r="12" spans="1:30" x14ac:dyDescent="0.25">
      <c r="A12" s="1">
        <f t="shared" si="0"/>
        <v>8</v>
      </c>
      <c r="B12" s="1">
        <v>331.14</v>
      </c>
      <c r="C12" s="1" t="s">
        <v>47</v>
      </c>
      <c r="D12" s="1">
        <v>-1125.2826541192826</v>
      </c>
      <c r="F12" s="1" t="s">
        <v>14</v>
      </c>
      <c r="G12" s="1" t="s">
        <v>17</v>
      </c>
      <c r="H12" s="1">
        <v>896.6</v>
      </c>
      <c r="I12" s="1" t="s">
        <v>16</v>
      </c>
      <c r="J12" s="1">
        <v>64.900000000000006</v>
      </c>
      <c r="K12" s="1" t="s">
        <v>42</v>
      </c>
      <c r="R12" s="1">
        <v>263.78699999999998</v>
      </c>
      <c r="S12" s="1" t="e">
        <v>#VALUE!</v>
      </c>
      <c r="T12" s="1">
        <v>-1125.2826541192826</v>
      </c>
      <c r="V12" s="1" t="s">
        <v>14</v>
      </c>
      <c r="W12" s="1" t="s">
        <v>17</v>
      </c>
      <c r="X12" s="1">
        <v>896.6</v>
      </c>
      <c r="Y12" s="1" t="s">
        <v>16</v>
      </c>
      <c r="Z12" s="1">
        <v>58.410000000000011</v>
      </c>
      <c r="AA12" s="1" t="s">
        <v>65</v>
      </c>
      <c r="AC12" s="1">
        <f t="shared" si="2"/>
        <v>8</v>
      </c>
      <c r="AD12" s="1">
        <f t="shared" si="1"/>
        <v>16</v>
      </c>
    </row>
    <row r="13" spans="1:30" x14ac:dyDescent="0.25">
      <c r="A13" s="1">
        <f t="shared" si="0"/>
        <v>9</v>
      </c>
      <c r="B13" s="1">
        <v>348.35999999999996</v>
      </c>
      <c r="C13" s="1">
        <v>0</v>
      </c>
      <c r="D13" s="1">
        <v>-1165.7202051199392</v>
      </c>
      <c r="F13" s="1" t="s">
        <v>21</v>
      </c>
      <c r="G13" s="1" t="s">
        <v>17</v>
      </c>
      <c r="H13" s="1">
        <v>925.3</v>
      </c>
      <c r="I13" s="1" t="s">
        <v>16</v>
      </c>
      <c r="J13" s="1">
        <v>66</v>
      </c>
      <c r="K13" s="1" t="s">
        <v>42</v>
      </c>
      <c r="R13" s="1">
        <v>281.00699999999995</v>
      </c>
      <c r="S13" s="1">
        <v>0</v>
      </c>
      <c r="T13" s="1">
        <v>-1165.7202051199392</v>
      </c>
      <c r="V13" s="1" t="s">
        <v>21</v>
      </c>
      <c r="W13" s="1" t="s">
        <v>17</v>
      </c>
      <c r="X13" s="1">
        <v>925.3</v>
      </c>
      <c r="Y13" s="1" t="s">
        <v>16</v>
      </c>
      <c r="Z13" s="1">
        <v>59.4</v>
      </c>
      <c r="AA13" s="1" t="s">
        <v>65</v>
      </c>
      <c r="AC13" s="1">
        <f t="shared" si="2"/>
        <v>9</v>
      </c>
      <c r="AD13" s="1">
        <f t="shared" si="1"/>
        <v>18</v>
      </c>
    </row>
    <row r="14" spans="1:30" x14ac:dyDescent="0.25">
      <c r="A14" s="1">
        <f t="shared" si="0"/>
        <v>10</v>
      </c>
      <c r="B14" s="1">
        <v>428.69400000000002</v>
      </c>
      <c r="C14" s="1" t="s">
        <v>47</v>
      </c>
      <c r="D14" s="1">
        <v>-1354.3677209205634</v>
      </c>
      <c r="F14" s="1" t="s">
        <v>14</v>
      </c>
      <c r="G14" s="1" t="s">
        <v>17</v>
      </c>
      <c r="H14" s="1">
        <v>1059.2</v>
      </c>
      <c r="I14" s="1" t="s">
        <v>16</v>
      </c>
      <c r="J14" s="1">
        <v>69</v>
      </c>
      <c r="K14" s="1" t="s">
        <v>42</v>
      </c>
      <c r="R14" s="1">
        <v>361.34100000000001</v>
      </c>
      <c r="S14" s="1" t="e">
        <v>#VALUE!</v>
      </c>
      <c r="T14" s="1">
        <v>-1354.3677209205634</v>
      </c>
      <c r="V14" s="1" t="s">
        <v>14</v>
      </c>
      <c r="W14" s="1" t="s">
        <v>17</v>
      </c>
      <c r="X14" s="1">
        <v>1059.2</v>
      </c>
      <c r="Y14" s="1" t="s">
        <v>16</v>
      </c>
      <c r="Z14" s="1">
        <v>62.1</v>
      </c>
      <c r="AA14" s="1" t="s">
        <v>65</v>
      </c>
      <c r="AC14" s="1">
        <f t="shared" si="2"/>
        <v>10</v>
      </c>
      <c r="AD14" s="1">
        <f t="shared" si="1"/>
        <v>20</v>
      </c>
    </row>
    <row r="15" spans="1:30" x14ac:dyDescent="0.25">
      <c r="A15" s="1">
        <f t="shared" si="0"/>
        <v>11</v>
      </c>
      <c r="B15" s="1">
        <v>428.93999999999988</v>
      </c>
      <c r="C15" s="1">
        <v>810.40200000000004</v>
      </c>
      <c r="D15" s="1">
        <v>-4.2754002205725214</v>
      </c>
      <c r="E15" s="1">
        <v>25</v>
      </c>
      <c r="F15" s="1" t="s">
        <v>18</v>
      </c>
      <c r="G15" s="1" t="s">
        <v>19</v>
      </c>
      <c r="H15" s="1">
        <v>1059.5999999999999</v>
      </c>
      <c r="I15" s="1" t="s">
        <v>16</v>
      </c>
      <c r="J15" s="1">
        <v>70</v>
      </c>
      <c r="K15" s="1" t="s">
        <v>42</v>
      </c>
      <c r="M15" s="1">
        <f>1365+1521</f>
        <v>2886</v>
      </c>
      <c r="R15" s="1">
        <v>361.58699999999988</v>
      </c>
      <c r="S15" s="1">
        <v>972.48239999999998</v>
      </c>
      <c r="T15" s="1">
        <v>-4.2754002205725214</v>
      </c>
      <c r="U15" s="1">
        <v>25</v>
      </c>
      <c r="V15" s="1" t="s">
        <v>18</v>
      </c>
      <c r="W15" s="1" t="s">
        <v>19</v>
      </c>
      <c r="X15" s="1">
        <v>1059.5999999999999</v>
      </c>
      <c r="Y15" s="1" t="s">
        <v>16</v>
      </c>
      <c r="Z15" s="1">
        <v>63</v>
      </c>
      <c r="AA15" s="1" t="s">
        <v>65</v>
      </c>
      <c r="AC15" s="1">
        <f t="shared" si="2"/>
        <v>11</v>
      </c>
      <c r="AD15" s="1">
        <f t="shared" si="1"/>
        <v>22</v>
      </c>
    </row>
    <row r="16" spans="1:30" x14ac:dyDescent="0.25">
      <c r="A16" s="1">
        <f t="shared" si="0"/>
        <v>12</v>
      </c>
      <c r="B16" s="1">
        <v>429.17999999999995</v>
      </c>
      <c r="C16" s="1">
        <v>809.73599999999999</v>
      </c>
      <c r="D16" s="1">
        <v>-5.9489897815576001</v>
      </c>
      <c r="E16" s="1">
        <v>20</v>
      </c>
      <c r="F16" s="1" t="s">
        <v>18</v>
      </c>
      <c r="G16" s="1" t="s">
        <v>19</v>
      </c>
      <c r="H16" s="1">
        <v>1060</v>
      </c>
      <c r="I16" s="1" t="s">
        <v>16</v>
      </c>
      <c r="J16" s="1">
        <v>70.8</v>
      </c>
      <c r="K16" s="1" t="s">
        <v>42</v>
      </c>
      <c r="M16" s="1">
        <f>+M15+560</f>
        <v>3446</v>
      </c>
      <c r="R16" s="1">
        <v>361.827</v>
      </c>
      <c r="S16" s="1">
        <v>971.68319999999994</v>
      </c>
      <c r="T16" s="1">
        <v>-5.9489897815576001</v>
      </c>
      <c r="U16" s="1">
        <v>20</v>
      </c>
      <c r="V16" s="1" t="s">
        <v>18</v>
      </c>
      <c r="W16" s="1" t="s">
        <v>19</v>
      </c>
      <c r="X16" s="1">
        <v>1060</v>
      </c>
      <c r="Y16" s="1" t="s">
        <v>16</v>
      </c>
      <c r="Z16" s="1">
        <v>63.72</v>
      </c>
      <c r="AA16" s="1" t="s">
        <v>65</v>
      </c>
      <c r="AC16" s="1">
        <f t="shared" si="2"/>
        <v>12</v>
      </c>
      <c r="AD16" s="1">
        <f t="shared" si="1"/>
        <v>24</v>
      </c>
    </row>
    <row r="17" spans="1:30" x14ac:dyDescent="0.25">
      <c r="A17" s="1">
        <f t="shared" si="0"/>
        <v>13</v>
      </c>
      <c r="B17" s="1">
        <v>437.03999999999991</v>
      </c>
      <c r="C17" s="1">
        <v>857.22</v>
      </c>
      <c r="D17" s="1">
        <v>54.733452096191911</v>
      </c>
      <c r="E17" s="1">
        <v>13</v>
      </c>
      <c r="F17" s="1" t="s">
        <v>18</v>
      </c>
      <c r="G17" s="1" t="s">
        <v>19</v>
      </c>
      <c r="H17" s="1">
        <v>1073.0999999999999</v>
      </c>
      <c r="I17" s="1" t="s">
        <v>16</v>
      </c>
      <c r="J17" s="1">
        <v>71.599999999999994</v>
      </c>
      <c r="K17" s="1" t="s">
        <v>42</v>
      </c>
      <c r="M17" s="1">
        <f>+M16*300</f>
        <v>1033800</v>
      </c>
      <c r="R17" s="1">
        <v>369.6869999999999</v>
      </c>
      <c r="S17" s="1">
        <v>1028.664</v>
      </c>
      <c r="T17" s="1">
        <v>54.733452096191911</v>
      </c>
      <c r="U17" s="1">
        <v>13</v>
      </c>
      <c r="V17" s="1" t="s">
        <v>18</v>
      </c>
      <c r="W17" s="1" t="s">
        <v>19</v>
      </c>
      <c r="X17" s="1">
        <v>1073.0999999999999</v>
      </c>
      <c r="Y17" s="1" t="s">
        <v>16</v>
      </c>
      <c r="Z17" s="1">
        <v>64.44</v>
      </c>
      <c r="AA17" s="1" t="s">
        <v>65</v>
      </c>
      <c r="AC17" s="1">
        <f t="shared" si="2"/>
        <v>13</v>
      </c>
      <c r="AD17" s="1">
        <f t="shared" si="1"/>
        <v>26</v>
      </c>
    </row>
    <row r="18" spans="1:30" x14ac:dyDescent="0.25">
      <c r="A18" s="1">
        <f t="shared" si="0"/>
        <v>14</v>
      </c>
      <c r="B18" s="1">
        <v>437.52000000000004</v>
      </c>
      <c r="C18" s="1" t="s">
        <v>47</v>
      </c>
      <c r="D18" s="1">
        <v>-1375.093727025778</v>
      </c>
      <c r="F18" s="1" t="s">
        <v>14</v>
      </c>
      <c r="G18" s="1" t="s">
        <v>17</v>
      </c>
      <c r="H18" s="1">
        <v>1073.9000000000001</v>
      </c>
      <c r="I18" s="1" t="s">
        <v>16</v>
      </c>
      <c r="J18" s="1">
        <v>71.599999999999994</v>
      </c>
      <c r="K18" s="1" t="s">
        <v>42</v>
      </c>
      <c r="R18" s="1">
        <v>370.16700000000003</v>
      </c>
      <c r="S18" s="1" t="e">
        <v>#VALUE!</v>
      </c>
      <c r="T18" s="1">
        <v>-1375.093727025778</v>
      </c>
      <c r="V18" s="1" t="s">
        <v>14</v>
      </c>
      <c r="W18" s="1" t="s">
        <v>17</v>
      </c>
      <c r="X18" s="1">
        <v>1073.9000000000001</v>
      </c>
      <c r="Y18" s="1" t="s">
        <v>16</v>
      </c>
      <c r="Z18" s="1">
        <v>64.44</v>
      </c>
      <c r="AA18" s="1" t="s">
        <v>65</v>
      </c>
      <c r="AC18" s="1">
        <f t="shared" si="2"/>
        <v>14</v>
      </c>
      <c r="AD18" s="1">
        <f t="shared" si="1"/>
        <v>28</v>
      </c>
    </row>
    <row r="19" spans="1:30" x14ac:dyDescent="0.25">
      <c r="A19" s="1">
        <f t="shared" si="0"/>
        <v>15</v>
      </c>
      <c r="B19" s="1">
        <v>437.75999999999993</v>
      </c>
      <c r="C19" s="1">
        <v>831.13199999999995</v>
      </c>
      <c r="D19" s="1">
        <v>9.5626834132373801</v>
      </c>
      <c r="E19" s="1">
        <v>13</v>
      </c>
      <c r="F19" s="1" t="s">
        <v>18</v>
      </c>
      <c r="G19" s="1" t="s">
        <v>19</v>
      </c>
      <c r="H19" s="1">
        <v>1074.3</v>
      </c>
      <c r="I19" s="1" t="s">
        <v>16</v>
      </c>
      <c r="J19" s="1">
        <v>71.7</v>
      </c>
      <c r="K19" s="1" t="s">
        <v>42</v>
      </c>
      <c r="R19" s="1">
        <v>370.40699999999993</v>
      </c>
      <c r="S19" s="1">
        <v>997.35839999999985</v>
      </c>
      <c r="T19" s="1">
        <v>9.5626834132373801</v>
      </c>
      <c r="U19" s="1">
        <v>13</v>
      </c>
      <c r="V19" s="1" t="s">
        <v>18</v>
      </c>
      <c r="W19" s="1" t="s">
        <v>19</v>
      </c>
      <c r="X19" s="1">
        <v>1074.3</v>
      </c>
      <c r="Y19" s="1" t="s">
        <v>16</v>
      </c>
      <c r="Z19" s="1">
        <v>64.53</v>
      </c>
      <c r="AA19" s="1" t="s">
        <v>65</v>
      </c>
      <c r="AC19" s="1">
        <f t="shared" si="2"/>
        <v>15</v>
      </c>
      <c r="AD19" s="1">
        <f t="shared" si="1"/>
        <v>30</v>
      </c>
    </row>
    <row r="20" spans="1:30" x14ac:dyDescent="0.25">
      <c r="A20" s="1">
        <f t="shared" si="0"/>
        <v>16</v>
      </c>
      <c r="B20" s="1">
        <v>436.97999999999996</v>
      </c>
      <c r="C20" s="1">
        <v>857.37599999999998</v>
      </c>
      <c r="D20" s="1">
        <v>55.134349486437657</v>
      </c>
      <c r="E20" s="1">
        <v>13</v>
      </c>
      <c r="F20" s="1" t="s">
        <v>18</v>
      </c>
      <c r="G20" s="1" t="s">
        <v>19</v>
      </c>
      <c r="H20" s="1">
        <v>1073</v>
      </c>
      <c r="I20" s="1" t="s">
        <v>16</v>
      </c>
      <c r="J20" s="1">
        <v>72.400000000000006</v>
      </c>
      <c r="K20" s="1" t="s">
        <v>42</v>
      </c>
      <c r="R20" s="1">
        <v>369.62699999999995</v>
      </c>
      <c r="S20" s="1">
        <v>1028.8511999999998</v>
      </c>
      <c r="T20" s="1">
        <v>55.134349486437657</v>
      </c>
      <c r="U20" s="1">
        <v>13</v>
      </c>
      <c r="V20" s="1" t="s">
        <v>18</v>
      </c>
      <c r="W20" s="1" t="s">
        <v>19</v>
      </c>
      <c r="X20" s="1">
        <v>1073</v>
      </c>
      <c r="Y20" s="1" t="s">
        <v>16</v>
      </c>
      <c r="Z20" s="1">
        <v>65.160000000000011</v>
      </c>
      <c r="AA20" s="1" t="s">
        <v>65</v>
      </c>
      <c r="AC20" s="1">
        <f t="shared" si="2"/>
        <v>16</v>
      </c>
      <c r="AD20" s="1">
        <f t="shared" si="1"/>
        <v>32</v>
      </c>
    </row>
    <row r="21" spans="1:30" x14ac:dyDescent="0.25">
      <c r="A21" s="1">
        <f t="shared" si="0"/>
        <v>17</v>
      </c>
      <c r="B21" s="1">
        <v>440.93999999999988</v>
      </c>
      <c r="C21" s="1">
        <v>834.18599999999992</v>
      </c>
      <c r="D21" s="1">
        <v>7.1851217301893371</v>
      </c>
      <c r="E21" s="1">
        <v>13</v>
      </c>
      <c r="F21" s="1" t="s">
        <v>18</v>
      </c>
      <c r="G21" s="1" t="s">
        <v>19</v>
      </c>
      <c r="H21" s="1">
        <v>1079.5999999999999</v>
      </c>
      <c r="I21" s="1" t="s">
        <v>16</v>
      </c>
      <c r="J21" s="1">
        <v>72.7</v>
      </c>
      <c r="K21" s="1" t="s">
        <v>42</v>
      </c>
      <c r="R21" s="1">
        <v>373.58699999999988</v>
      </c>
      <c r="S21" s="1">
        <v>1001.0231999999999</v>
      </c>
      <c r="T21" s="1">
        <v>7.1851217301893371</v>
      </c>
      <c r="U21" s="1">
        <v>13</v>
      </c>
      <c r="V21" s="1" t="s">
        <v>18</v>
      </c>
      <c r="W21" s="1" t="s">
        <v>19</v>
      </c>
      <c r="X21" s="1">
        <v>1079.5999999999999</v>
      </c>
      <c r="Y21" s="1" t="s">
        <v>16</v>
      </c>
      <c r="Z21" s="1">
        <v>65.430000000000007</v>
      </c>
      <c r="AA21" s="1" t="s">
        <v>65</v>
      </c>
      <c r="AC21" s="1">
        <f t="shared" si="2"/>
        <v>17</v>
      </c>
      <c r="AD21" s="1">
        <f t="shared" si="1"/>
        <v>34</v>
      </c>
    </row>
    <row r="22" spans="1:30" x14ac:dyDescent="0.25">
      <c r="A22" s="1">
        <f t="shared" si="0"/>
        <v>18</v>
      </c>
      <c r="B22" s="1">
        <v>442.37999999999994</v>
      </c>
      <c r="C22" s="1">
        <v>830.18400000000008</v>
      </c>
      <c r="D22" s="1">
        <v>-2.8664156357193065</v>
      </c>
      <c r="E22" s="1">
        <v>14</v>
      </c>
      <c r="F22" s="1" t="s">
        <v>18</v>
      </c>
      <c r="G22" s="1" t="s">
        <v>19</v>
      </c>
      <c r="H22" s="1">
        <v>1082</v>
      </c>
      <c r="I22" s="1" t="s">
        <v>16</v>
      </c>
      <c r="J22" s="1">
        <v>72.47</v>
      </c>
      <c r="K22" s="1" t="s">
        <v>42</v>
      </c>
      <c r="N22" s="1">
        <v>185000</v>
      </c>
      <c r="R22" s="1">
        <v>375.02699999999993</v>
      </c>
      <c r="S22" s="1">
        <v>996.22080000000005</v>
      </c>
      <c r="T22" s="1">
        <v>-2.8664156357193065</v>
      </c>
      <c r="U22" s="1">
        <v>14</v>
      </c>
      <c r="V22" s="1" t="s">
        <v>18</v>
      </c>
      <c r="W22" s="1" t="s">
        <v>19</v>
      </c>
      <c r="X22" s="1">
        <v>1082</v>
      </c>
      <c r="Y22" s="1" t="s">
        <v>16</v>
      </c>
      <c r="Z22" s="1">
        <v>65.222999999999999</v>
      </c>
      <c r="AA22" s="1" t="s">
        <v>65</v>
      </c>
      <c r="AC22" s="1">
        <f>+AC21+1</f>
        <v>18</v>
      </c>
      <c r="AD22" s="1">
        <f t="shared" si="1"/>
        <v>36</v>
      </c>
    </row>
    <row r="23" spans="1:30" x14ac:dyDescent="0.25">
      <c r="A23" s="1">
        <f t="shared" si="0"/>
        <v>19</v>
      </c>
      <c r="B23" s="1">
        <v>442.97999999999996</v>
      </c>
      <c r="C23" s="1">
        <v>831.39600000000007</v>
      </c>
      <c r="D23" s="1">
        <v>-2.2553895381811913</v>
      </c>
      <c r="E23" s="1">
        <v>9</v>
      </c>
      <c r="F23" s="1" t="s">
        <v>18</v>
      </c>
      <c r="G23" s="1" t="s">
        <v>19</v>
      </c>
      <c r="H23" s="1">
        <v>1083</v>
      </c>
      <c r="I23" s="1" t="s">
        <v>16</v>
      </c>
      <c r="J23" s="1">
        <v>72.5</v>
      </c>
      <c r="K23" s="1" t="s">
        <v>42</v>
      </c>
      <c r="N23" s="1">
        <f>+N22/560</f>
        <v>330.35714285714283</v>
      </c>
      <c r="R23" s="1">
        <v>375.62699999999995</v>
      </c>
      <c r="S23" s="1">
        <v>997.67520000000002</v>
      </c>
      <c r="T23" s="1">
        <v>-2.2553895381811913</v>
      </c>
      <c r="U23" s="1">
        <v>9</v>
      </c>
      <c r="V23" s="1" t="s">
        <v>18</v>
      </c>
      <c r="W23" s="1" t="s">
        <v>19</v>
      </c>
      <c r="X23" s="1">
        <v>1083</v>
      </c>
      <c r="Y23" s="1" t="s">
        <v>16</v>
      </c>
      <c r="Z23" s="1">
        <v>65.25</v>
      </c>
      <c r="AA23" s="1" t="s">
        <v>65</v>
      </c>
      <c r="AC23" s="1">
        <f t="shared" si="2"/>
        <v>19</v>
      </c>
      <c r="AD23" s="1">
        <f t="shared" si="1"/>
        <v>38</v>
      </c>
    </row>
    <row r="24" spans="1:30" x14ac:dyDescent="0.25">
      <c r="A24" s="1">
        <f t="shared" si="0"/>
        <v>20</v>
      </c>
      <c r="B24" s="1">
        <v>443.58</v>
      </c>
      <c r="C24" s="1">
        <v>831.75599999999997</v>
      </c>
      <c r="D24" s="1">
        <v>-3.0643634406431488</v>
      </c>
      <c r="E24" s="1">
        <v>10</v>
      </c>
      <c r="F24" s="1" t="s">
        <v>18</v>
      </c>
      <c r="G24" s="1" t="s">
        <v>19</v>
      </c>
      <c r="H24" s="1">
        <v>1084</v>
      </c>
      <c r="I24" s="1" t="s">
        <v>16</v>
      </c>
      <c r="J24" s="1">
        <v>72.099999999999994</v>
      </c>
      <c r="K24" s="1" t="s">
        <v>42</v>
      </c>
      <c r="R24" s="1">
        <v>376.22699999999998</v>
      </c>
      <c r="S24" s="1">
        <v>998.10719999999992</v>
      </c>
      <c r="T24" s="1">
        <v>-3.0643634406431488</v>
      </c>
      <c r="U24" s="1">
        <v>10</v>
      </c>
      <c r="V24" s="1" t="s">
        <v>18</v>
      </c>
      <c r="W24" s="1" t="s">
        <v>19</v>
      </c>
      <c r="X24" s="1">
        <v>1084</v>
      </c>
      <c r="Y24" s="1" t="s">
        <v>16</v>
      </c>
      <c r="Z24" s="1">
        <v>64.889999999999986</v>
      </c>
      <c r="AA24" s="1" t="s">
        <v>65</v>
      </c>
      <c r="AC24" s="1">
        <f t="shared" si="2"/>
        <v>20</v>
      </c>
      <c r="AD24" s="1">
        <f t="shared" si="1"/>
        <v>40</v>
      </c>
    </row>
    <row r="25" spans="1:30" x14ac:dyDescent="0.25">
      <c r="A25" s="1">
        <f t="shared" si="0"/>
        <v>21</v>
      </c>
      <c r="B25" s="1">
        <v>452.4</v>
      </c>
      <c r="C25" s="1" t="s">
        <v>47</v>
      </c>
      <c r="D25" s="1">
        <v>-1410.0362798068331</v>
      </c>
      <c r="F25" s="1" t="s">
        <v>14</v>
      </c>
      <c r="G25" s="1" t="s">
        <v>17</v>
      </c>
      <c r="H25" s="1">
        <v>1098.7</v>
      </c>
      <c r="I25" s="1" t="s">
        <v>16</v>
      </c>
      <c r="J25" s="1">
        <v>70.7</v>
      </c>
      <c r="K25" s="1" t="s">
        <v>42</v>
      </c>
      <c r="R25" s="1">
        <v>385.04699999999997</v>
      </c>
      <c r="S25" s="1" t="e">
        <v>#VALUE!</v>
      </c>
      <c r="T25" s="1">
        <v>-1410.0362798068331</v>
      </c>
      <c r="V25" s="1" t="s">
        <v>14</v>
      </c>
      <c r="W25" s="1" t="s">
        <v>17</v>
      </c>
      <c r="X25" s="1">
        <v>1098.7</v>
      </c>
      <c r="Y25" s="1" t="s">
        <v>16</v>
      </c>
      <c r="Z25" s="1">
        <v>63.63</v>
      </c>
      <c r="AA25" s="1" t="s">
        <v>65</v>
      </c>
    </row>
    <row r="26" spans="1:30" x14ac:dyDescent="0.25">
      <c r="A26" s="1">
        <f t="shared" si="0"/>
        <v>22</v>
      </c>
      <c r="B26" s="1">
        <v>463.55999999999995</v>
      </c>
      <c r="C26" s="1">
        <v>863.952</v>
      </c>
      <c r="D26" s="1">
        <v>3.6768056073755702</v>
      </c>
      <c r="E26" s="1">
        <v>9.1999999999999993</v>
      </c>
      <c r="F26" s="1" t="s">
        <v>18</v>
      </c>
      <c r="G26" s="1" t="s">
        <v>19</v>
      </c>
      <c r="H26" s="1">
        <v>1117.3</v>
      </c>
      <c r="I26" s="1" t="s">
        <v>16</v>
      </c>
      <c r="J26" s="1">
        <v>74</v>
      </c>
      <c r="K26" s="1" t="s">
        <v>42</v>
      </c>
      <c r="R26" s="1">
        <v>396.20699999999994</v>
      </c>
      <c r="S26" s="1">
        <v>1036.7423999999999</v>
      </c>
      <c r="T26" s="1">
        <v>3.6768056073755702</v>
      </c>
      <c r="U26" s="1">
        <v>9.1999999999999993</v>
      </c>
      <c r="V26" s="1" t="s">
        <v>18</v>
      </c>
      <c r="W26" s="1" t="s">
        <v>19</v>
      </c>
      <c r="X26" s="1">
        <v>1117.3</v>
      </c>
      <c r="Y26" s="1" t="s">
        <v>16</v>
      </c>
      <c r="Z26" s="1">
        <v>66.599999999999994</v>
      </c>
      <c r="AA26" s="1" t="s">
        <v>65</v>
      </c>
    </row>
    <row r="27" spans="1:30" x14ac:dyDescent="0.25">
      <c r="A27" s="1">
        <f t="shared" si="0"/>
        <v>23</v>
      </c>
      <c r="B27" s="1">
        <v>473.4</v>
      </c>
      <c r="C27" s="1">
        <v>864.31799999999998</v>
      </c>
      <c r="D27" s="1">
        <v>-18.820366392999915</v>
      </c>
      <c r="E27" s="1">
        <v>10.5</v>
      </c>
      <c r="F27" s="1" t="s">
        <v>18</v>
      </c>
      <c r="G27" s="1" t="s">
        <v>19</v>
      </c>
      <c r="H27" s="1">
        <v>1133.7</v>
      </c>
      <c r="I27" s="1" t="s">
        <v>16</v>
      </c>
      <c r="J27" s="1">
        <v>73.3</v>
      </c>
      <c r="K27" s="1" t="s">
        <v>42</v>
      </c>
      <c r="R27" s="1">
        <v>406.04699999999997</v>
      </c>
      <c r="S27" s="1">
        <v>1037.1815999999999</v>
      </c>
      <c r="T27" s="1">
        <v>-18.820366392999915</v>
      </c>
      <c r="U27" s="1">
        <v>10.5</v>
      </c>
      <c r="V27" s="1" t="s">
        <v>18</v>
      </c>
      <c r="W27" s="1" t="s">
        <v>19</v>
      </c>
      <c r="X27" s="1">
        <v>1133.7</v>
      </c>
      <c r="Y27" s="1" t="s">
        <v>16</v>
      </c>
      <c r="Z27" s="1">
        <v>65.97</v>
      </c>
      <c r="AA27" s="1" t="s">
        <v>65</v>
      </c>
    </row>
    <row r="28" spans="1:30" x14ac:dyDescent="0.25">
      <c r="A28" s="1">
        <f t="shared" si="0"/>
        <v>24</v>
      </c>
      <c r="B28" s="1">
        <v>479.93999999999988</v>
      </c>
      <c r="C28" s="1">
        <v>871.12199999999996</v>
      </c>
      <c r="D28" s="1">
        <v>-22.838181929834548</v>
      </c>
      <c r="E28" s="1">
        <v>9.1</v>
      </c>
      <c r="F28" s="1" t="s">
        <v>18</v>
      </c>
      <c r="G28" s="1" t="s">
        <v>19</v>
      </c>
      <c r="H28" s="1">
        <v>1144.5999999999999</v>
      </c>
      <c r="I28" s="1" t="s">
        <v>16</v>
      </c>
      <c r="J28" s="1">
        <v>73.61</v>
      </c>
      <c r="K28" s="1" t="s">
        <v>42</v>
      </c>
      <c r="R28" s="1">
        <v>412.58699999999988</v>
      </c>
      <c r="S28" s="1">
        <v>1045.3463999999999</v>
      </c>
      <c r="T28" s="1">
        <v>-22.838181929834548</v>
      </c>
      <c r="U28" s="1">
        <v>9.1</v>
      </c>
      <c r="V28" s="1" t="s">
        <v>18</v>
      </c>
      <c r="W28" s="1" t="s">
        <v>19</v>
      </c>
      <c r="X28" s="1">
        <v>1144.5999999999999</v>
      </c>
      <c r="Y28" s="1" t="s">
        <v>16</v>
      </c>
      <c r="Z28" s="1">
        <v>66.248999999999995</v>
      </c>
      <c r="AA28" s="1" t="s">
        <v>65</v>
      </c>
    </row>
    <row r="29" spans="1:30" x14ac:dyDescent="0.25">
      <c r="A29" s="1">
        <f t="shared" si="0"/>
        <v>25</v>
      </c>
      <c r="B29" s="1">
        <v>480.42</v>
      </c>
      <c r="C29" s="1">
        <v>871.54199999999992</v>
      </c>
      <c r="D29" s="1">
        <v>-23.265361051804177</v>
      </c>
      <c r="E29" s="1">
        <v>19.899999999999999</v>
      </c>
      <c r="F29" s="1" t="s">
        <v>18</v>
      </c>
      <c r="G29" s="1" t="s">
        <v>19</v>
      </c>
      <c r="H29" s="1">
        <v>1145.4000000000001</v>
      </c>
      <c r="I29" s="1" t="s">
        <v>16</v>
      </c>
      <c r="J29" s="1">
        <v>73.86</v>
      </c>
      <c r="K29" s="1" t="s">
        <v>42</v>
      </c>
      <c r="R29" s="1">
        <v>413.06700000000001</v>
      </c>
      <c r="S29" s="1">
        <v>1045.8503999999998</v>
      </c>
      <c r="T29" s="1">
        <v>-23.265361051804177</v>
      </c>
      <c r="U29" s="1">
        <v>19.899999999999999</v>
      </c>
      <c r="V29" s="1" t="s">
        <v>18</v>
      </c>
      <c r="W29" s="1" t="s">
        <v>19</v>
      </c>
      <c r="X29" s="1">
        <v>1145.4000000000001</v>
      </c>
      <c r="Y29" s="1" t="s">
        <v>16</v>
      </c>
      <c r="Z29" s="1">
        <v>66.47399999999999</v>
      </c>
      <c r="AA29" s="1" t="s">
        <v>65</v>
      </c>
    </row>
    <row r="30" spans="1:30" x14ac:dyDescent="0.25">
      <c r="A30" s="1">
        <f t="shared" si="0"/>
        <v>26</v>
      </c>
      <c r="B30" s="1">
        <v>480.78</v>
      </c>
      <c r="C30" s="1">
        <v>871.87199999999996</v>
      </c>
      <c r="D30" s="1">
        <v>-23.560745393281252</v>
      </c>
      <c r="E30" s="1">
        <v>45.7</v>
      </c>
      <c r="F30" s="1" t="s">
        <v>18</v>
      </c>
      <c r="G30" s="1" t="s">
        <v>19</v>
      </c>
      <c r="H30" s="1">
        <v>1146</v>
      </c>
      <c r="I30" s="1" t="s">
        <v>16</v>
      </c>
      <c r="J30" s="1">
        <v>74.05</v>
      </c>
      <c r="K30" s="1" t="s">
        <v>42</v>
      </c>
      <c r="R30" s="1">
        <v>413.42699999999996</v>
      </c>
      <c r="S30" s="1">
        <v>1046.2464</v>
      </c>
      <c r="T30" s="1">
        <v>-23.560745393281252</v>
      </c>
      <c r="U30" s="1">
        <v>45.7</v>
      </c>
      <c r="V30" s="1" t="s">
        <v>18</v>
      </c>
      <c r="W30" s="1" t="s">
        <v>19</v>
      </c>
      <c r="X30" s="1">
        <v>1146</v>
      </c>
      <c r="Y30" s="1" t="s">
        <v>16</v>
      </c>
      <c r="Z30" s="1">
        <v>66.644999999999996</v>
      </c>
      <c r="AA30" s="1" t="s">
        <v>65</v>
      </c>
    </row>
    <row r="31" spans="1:30" x14ac:dyDescent="0.25">
      <c r="A31" s="1">
        <f t="shared" si="0"/>
        <v>27</v>
      </c>
      <c r="B31" s="1">
        <v>526.07999999999993</v>
      </c>
      <c r="C31" s="1" t="s">
        <v>47</v>
      </c>
      <c r="D31" s="1">
        <v>-1583.0582750291549</v>
      </c>
      <c r="F31" s="1" t="s">
        <v>14</v>
      </c>
      <c r="G31" s="1" t="s">
        <v>17</v>
      </c>
      <c r="H31" s="1">
        <v>1221.5</v>
      </c>
      <c r="I31" s="1" t="s">
        <v>16</v>
      </c>
      <c r="J31" s="1">
        <v>75.52</v>
      </c>
      <c r="K31" s="1" t="s">
        <v>42</v>
      </c>
      <c r="R31" s="1">
        <v>458.72699999999992</v>
      </c>
      <c r="S31" s="1" t="e">
        <v>#VALUE!</v>
      </c>
      <c r="T31" s="1">
        <v>-1583.0582750291549</v>
      </c>
      <c r="V31" s="1" t="s">
        <v>14</v>
      </c>
      <c r="W31" s="1" t="s">
        <v>17</v>
      </c>
      <c r="X31" s="1">
        <v>1221.5</v>
      </c>
      <c r="Y31" s="1" t="s">
        <v>16</v>
      </c>
      <c r="Z31" s="1">
        <v>67.967999999999989</v>
      </c>
      <c r="AA31" s="1" t="s">
        <v>65</v>
      </c>
    </row>
    <row r="32" spans="1:30" x14ac:dyDescent="0.25">
      <c r="A32" s="1">
        <f t="shared" si="0"/>
        <v>28</v>
      </c>
      <c r="B32" s="1">
        <v>531.05999999999995</v>
      </c>
      <c r="C32" s="1" t="s">
        <v>47</v>
      </c>
      <c r="D32" s="1">
        <v>-1594.7527584195884</v>
      </c>
      <c r="F32" s="1" t="s">
        <v>14</v>
      </c>
      <c r="G32" s="1" t="s">
        <v>17</v>
      </c>
      <c r="H32" s="1">
        <v>1229.8</v>
      </c>
      <c r="I32" s="1" t="s">
        <v>16</v>
      </c>
      <c r="J32" s="1">
        <v>75.87</v>
      </c>
      <c r="K32" s="1" t="s">
        <v>42</v>
      </c>
      <c r="R32" s="1">
        <v>463.70699999999994</v>
      </c>
      <c r="S32" s="1" t="e">
        <v>#VALUE!</v>
      </c>
      <c r="T32" s="1">
        <v>-1594.7527584195884</v>
      </c>
      <c r="V32" s="1" t="s">
        <v>14</v>
      </c>
      <c r="W32" s="1" t="s">
        <v>17</v>
      </c>
      <c r="X32" s="1">
        <v>1229.8</v>
      </c>
      <c r="Y32" s="1" t="s">
        <v>16</v>
      </c>
      <c r="Z32" s="1">
        <v>68.283000000000001</v>
      </c>
      <c r="AA32" s="1" t="s">
        <v>65</v>
      </c>
    </row>
    <row r="33" spans="1:27" x14ac:dyDescent="0.25">
      <c r="A33" s="1">
        <f t="shared" si="0"/>
        <v>29</v>
      </c>
      <c r="B33" s="1">
        <v>115.30800553186882</v>
      </c>
      <c r="C33" s="1" t="s">
        <v>47</v>
      </c>
      <c r="D33" s="1">
        <v>-618.44657491611849</v>
      </c>
      <c r="F33" s="1" t="s">
        <v>22</v>
      </c>
      <c r="G33" s="1" t="s">
        <v>17</v>
      </c>
      <c r="H33" s="1">
        <v>527</v>
      </c>
      <c r="I33" s="1" t="s">
        <v>23</v>
      </c>
      <c r="J33" s="1">
        <v>59.47</v>
      </c>
      <c r="K33" s="1" t="s">
        <v>43</v>
      </c>
      <c r="R33" s="1">
        <v>47.955005531868821</v>
      </c>
      <c r="S33" s="1" t="e">
        <v>#VALUE!</v>
      </c>
      <c r="T33" s="1">
        <v>-618.44657491611849</v>
      </c>
      <c r="V33" s="1" t="s">
        <v>22</v>
      </c>
      <c r="W33" s="1" t="s">
        <v>17</v>
      </c>
      <c r="X33" s="1">
        <v>527</v>
      </c>
      <c r="Y33" s="1" t="s">
        <v>23</v>
      </c>
      <c r="Z33" s="1">
        <v>53.523000000000003</v>
      </c>
      <c r="AA33" s="1" t="s">
        <v>66</v>
      </c>
    </row>
    <row r="34" spans="1:27" x14ac:dyDescent="0.25">
      <c r="A34" s="1">
        <f t="shared" si="0"/>
        <v>30</v>
      </c>
      <c r="B34" s="1">
        <v>115.30800553186882</v>
      </c>
      <c r="C34" s="1" t="s">
        <v>47</v>
      </c>
      <c r="D34" s="1">
        <v>-618.44657491611849</v>
      </c>
      <c r="F34" s="1" t="s">
        <v>22</v>
      </c>
      <c r="G34" s="1" t="s">
        <v>17</v>
      </c>
      <c r="H34" s="1">
        <v>527.5</v>
      </c>
      <c r="I34" s="1" t="s">
        <v>23</v>
      </c>
      <c r="J34" s="1">
        <v>59.69</v>
      </c>
      <c r="K34" s="1" t="s">
        <v>43</v>
      </c>
      <c r="R34" s="1">
        <v>47.955005531868821</v>
      </c>
      <c r="S34" s="1" t="e">
        <v>#VALUE!</v>
      </c>
      <c r="T34" s="1">
        <v>-618.44657491611849</v>
      </c>
      <c r="V34" s="1" t="s">
        <v>22</v>
      </c>
      <c r="W34" s="1" t="s">
        <v>17</v>
      </c>
      <c r="X34" s="1">
        <v>527.5</v>
      </c>
      <c r="Y34" s="1" t="s">
        <v>23</v>
      </c>
      <c r="Z34" s="1">
        <v>53.720999999999997</v>
      </c>
      <c r="AA34" s="1" t="s">
        <v>66</v>
      </c>
    </row>
    <row r="35" spans="1:27" x14ac:dyDescent="0.25">
      <c r="A35" s="1">
        <f t="shared" si="0"/>
        <v>31</v>
      </c>
      <c r="B35" s="1">
        <v>126.61949649062512</v>
      </c>
      <c r="C35" s="1">
        <v>397.26600000000002</v>
      </c>
      <c r="D35" s="1">
        <v>17.100765819179173</v>
      </c>
      <c r="E35" s="1">
        <v>44.9</v>
      </c>
      <c r="F35" s="1" t="s">
        <v>24</v>
      </c>
      <c r="G35" s="1" t="s">
        <v>25</v>
      </c>
      <c r="H35" s="1">
        <v>546.4</v>
      </c>
      <c r="I35" s="1" t="s">
        <v>23</v>
      </c>
      <c r="J35" s="1">
        <v>60.83</v>
      </c>
      <c r="K35" s="1" t="s">
        <v>43</v>
      </c>
      <c r="R35" s="1">
        <v>59.26649649062513</v>
      </c>
      <c r="S35" s="1">
        <v>476.7192</v>
      </c>
      <c r="T35" s="1">
        <v>17.100765819179173</v>
      </c>
      <c r="U35" s="1">
        <v>44.9</v>
      </c>
      <c r="V35" s="1" t="s">
        <v>24</v>
      </c>
      <c r="W35" s="1" t="s">
        <v>25</v>
      </c>
      <c r="X35" s="1">
        <v>546.4</v>
      </c>
      <c r="Y35" s="1" t="s">
        <v>23</v>
      </c>
      <c r="Z35" s="1">
        <v>54.747</v>
      </c>
      <c r="AA35" s="1" t="s">
        <v>66</v>
      </c>
    </row>
    <row r="36" spans="1:27" x14ac:dyDescent="0.25">
      <c r="A36" s="1">
        <f t="shared" si="0"/>
        <v>32</v>
      </c>
      <c r="B36" s="1">
        <v>126.61949649062512</v>
      </c>
      <c r="C36" s="1">
        <v>397.18200000000002</v>
      </c>
      <c r="D36" s="1">
        <v>16.960765819179187</v>
      </c>
      <c r="E36" s="1">
        <v>44.6</v>
      </c>
      <c r="F36" s="1" t="s">
        <v>26</v>
      </c>
      <c r="G36" s="1" t="s">
        <v>19</v>
      </c>
      <c r="H36" s="1">
        <v>546.4</v>
      </c>
      <c r="I36" s="1" t="s">
        <v>23</v>
      </c>
      <c r="J36" s="1">
        <v>61.03</v>
      </c>
      <c r="K36" s="1" t="s">
        <v>43</v>
      </c>
      <c r="R36" s="1">
        <v>59.26649649062513</v>
      </c>
      <c r="S36" s="1">
        <v>476.61840000000001</v>
      </c>
      <c r="T36" s="1">
        <v>16.960765819179187</v>
      </c>
      <c r="U36" s="1">
        <v>44.6</v>
      </c>
      <c r="V36" s="1" t="s">
        <v>26</v>
      </c>
      <c r="W36" s="1" t="s">
        <v>19</v>
      </c>
      <c r="X36" s="1">
        <v>546.4</v>
      </c>
      <c r="Y36" s="1" t="s">
        <v>23</v>
      </c>
      <c r="Z36" s="1">
        <v>54.927</v>
      </c>
      <c r="AA36" s="1" t="s">
        <v>66</v>
      </c>
    </row>
    <row r="37" spans="1:27" x14ac:dyDescent="0.25">
      <c r="A37" s="1">
        <f t="shared" si="0"/>
        <v>33</v>
      </c>
      <c r="B37" s="1">
        <v>130.86178201600134</v>
      </c>
      <c r="C37" s="1">
        <v>403.05599999999998</v>
      </c>
      <c r="D37" s="1">
        <v>16.788649832434203</v>
      </c>
      <c r="E37" s="1">
        <v>591.4</v>
      </c>
      <c r="F37" s="1" t="s">
        <v>26</v>
      </c>
      <c r="G37" s="1" t="s">
        <v>19</v>
      </c>
      <c r="H37" s="1">
        <v>553.5</v>
      </c>
      <c r="I37" s="1" t="s">
        <v>23</v>
      </c>
      <c r="J37" s="1">
        <v>61.6</v>
      </c>
      <c r="K37" s="1" t="s">
        <v>43</v>
      </c>
      <c r="R37" s="1">
        <v>63.508782016001348</v>
      </c>
      <c r="S37" s="1">
        <v>483.66719999999998</v>
      </c>
      <c r="T37" s="1">
        <v>16.788649832434203</v>
      </c>
      <c r="U37" s="1">
        <v>591.4</v>
      </c>
      <c r="V37" s="1" t="s">
        <v>26</v>
      </c>
      <c r="W37" s="1" t="s">
        <v>19</v>
      </c>
      <c r="X37" s="1">
        <v>553.5</v>
      </c>
      <c r="Y37" s="1" t="s">
        <v>23</v>
      </c>
      <c r="Z37" s="1">
        <v>55.44</v>
      </c>
      <c r="AA37" s="1" t="s">
        <v>66</v>
      </c>
    </row>
    <row r="38" spans="1:27" x14ac:dyDescent="0.25">
      <c r="A38" s="1">
        <f t="shared" si="0"/>
        <v>34</v>
      </c>
      <c r="B38" s="1">
        <v>130.86178201600134</v>
      </c>
      <c r="C38" s="1">
        <v>403.21199999999999</v>
      </c>
      <c r="D38" s="1">
        <v>17.048649832434194</v>
      </c>
      <c r="E38" s="1">
        <v>581.1</v>
      </c>
      <c r="F38" s="1" t="s">
        <v>24</v>
      </c>
      <c r="G38" s="1" t="s">
        <v>25</v>
      </c>
      <c r="H38" s="1">
        <v>553.5</v>
      </c>
      <c r="I38" s="1" t="s">
        <v>23</v>
      </c>
      <c r="J38" s="1">
        <v>61.69</v>
      </c>
      <c r="K38" s="1" t="s">
        <v>43</v>
      </c>
      <c r="R38" s="1">
        <v>63.508782016001348</v>
      </c>
      <c r="S38" s="1">
        <v>483.85439999999994</v>
      </c>
      <c r="T38" s="1">
        <v>17.048649832434194</v>
      </c>
      <c r="U38" s="1">
        <v>581.1</v>
      </c>
      <c r="V38" s="1" t="s">
        <v>24</v>
      </c>
      <c r="W38" s="1" t="s">
        <v>25</v>
      </c>
      <c r="X38" s="1">
        <v>553.5</v>
      </c>
      <c r="Y38" s="1" t="s">
        <v>23</v>
      </c>
      <c r="Z38" s="1">
        <v>55.520999999999994</v>
      </c>
      <c r="AA38" s="1" t="s">
        <v>66</v>
      </c>
    </row>
    <row r="39" spans="1:27" x14ac:dyDescent="0.25">
      <c r="A39" s="1">
        <f t="shared" si="0"/>
        <v>35</v>
      </c>
      <c r="B39" s="1">
        <v>130.86178201600134</v>
      </c>
      <c r="C39" s="1">
        <v>403.27199999999999</v>
      </c>
      <c r="D39" s="1">
        <v>17.148649832434216</v>
      </c>
      <c r="E39" s="1">
        <v>600</v>
      </c>
      <c r="F39" s="1" t="s">
        <v>26</v>
      </c>
      <c r="G39" s="1" t="s">
        <v>25</v>
      </c>
      <c r="H39" s="1">
        <v>553.5</v>
      </c>
      <c r="I39" s="1" t="s">
        <v>23</v>
      </c>
      <c r="J39" s="1">
        <v>61.81</v>
      </c>
      <c r="K39" s="1" t="s">
        <v>43</v>
      </c>
      <c r="R39" s="1">
        <v>63.508782016001348</v>
      </c>
      <c r="S39" s="1">
        <v>483.92639999999994</v>
      </c>
      <c r="T39" s="1">
        <v>17.148649832434216</v>
      </c>
      <c r="U39" s="1">
        <v>600</v>
      </c>
      <c r="V39" s="1" t="s">
        <v>26</v>
      </c>
      <c r="W39" s="1" t="s">
        <v>25</v>
      </c>
      <c r="X39" s="1">
        <v>553.5</v>
      </c>
      <c r="Y39" s="1" t="s">
        <v>23</v>
      </c>
      <c r="Z39" s="1">
        <v>55.629000000000005</v>
      </c>
      <c r="AA39" s="1" t="s">
        <v>66</v>
      </c>
    </row>
    <row r="40" spans="1:27" x14ac:dyDescent="0.25">
      <c r="A40" s="1">
        <f t="shared" si="0"/>
        <v>36</v>
      </c>
      <c r="B40" s="1">
        <v>137.36685630566154</v>
      </c>
      <c r="C40" s="1">
        <v>410.63399999999996</v>
      </c>
      <c r="D40" s="1">
        <v>14.142849986255669</v>
      </c>
      <c r="E40" s="1">
        <v>759.5</v>
      </c>
      <c r="F40" s="1" t="s">
        <v>26</v>
      </c>
      <c r="G40" s="1" t="s">
        <v>19</v>
      </c>
      <c r="H40" s="1">
        <v>564.4</v>
      </c>
      <c r="I40" s="1" t="s">
        <v>23</v>
      </c>
      <c r="J40" s="1">
        <v>62.18</v>
      </c>
      <c r="K40" s="1" t="s">
        <v>43</v>
      </c>
      <c r="R40" s="1">
        <v>70.013856305661548</v>
      </c>
      <c r="S40" s="1">
        <v>492.7607999999999</v>
      </c>
      <c r="T40" s="1">
        <v>14.142849986255669</v>
      </c>
      <c r="U40" s="1">
        <v>759.5</v>
      </c>
      <c r="V40" s="1" t="s">
        <v>26</v>
      </c>
      <c r="W40" s="1" t="s">
        <v>19</v>
      </c>
      <c r="X40" s="1">
        <v>564.4</v>
      </c>
      <c r="Y40" s="1" t="s">
        <v>23</v>
      </c>
      <c r="Z40" s="1">
        <v>55.961999999999996</v>
      </c>
      <c r="AA40" s="1" t="s">
        <v>66</v>
      </c>
    </row>
    <row r="41" spans="1:27" x14ac:dyDescent="0.25">
      <c r="A41" s="1">
        <f t="shared" si="0"/>
        <v>37</v>
      </c>
      <c r="B41" s="1">
        <v>137.36685630566154</v>
      </c>
      <c r="C41" s="1">
        <v>410.79599999999999</v>
      </c>
      <c r="D41" s="1">
        <v>14.412849986255651</v>
      </c>
      <c r="E41" s="1">
        <v>821.5</v>
      </c>
      <c r="F41" s="1" t="s">
        <v>24</v>
      </c>
      <c r="G41" s="1" t="s">
        <v>25</v>
      </c>
      <c r="H41" s="1">
        <v>564.4</v>
      </c>
      <c r="I41" s="1" t="s">
        <v>23</v>
      </c>
      <c r="J41" s="1">
        <v>62.3</v>
      </c>
      <c r="K41" s="1" t="s">
        <v>43</v>
      </c>
      <c r="R41" s="1">
        <v>70.013856305661548</v>
      </c>
      <c r="S41" s="1">
        <v>492.95519999999999</v>
      </c>
      <c r="T41" s="1">
        <v>14.412849986255651</v>
      </c>
      <c r="U41" s="1">
        <v>821.5</v>
      </c>
      <c r="V41" s="1" t="s">
        <v>24</v>
      </c>
      <c r="W41" s="1" t="s">
        <v>25</v>
      </c>
      <c r="X41" s="1">
        <v>564.4</v>
      </c>
      <c r="Y41" s="1" t="s">
        <v>23</v>
      </c>
      <c r="Z41" s="1">
        <v>56.07</v>
      </c>
      <c r="AA41" s="1" t="s">
        <v>66</v>
      </c>
    </row>
    <row r="42" spans="1:27" x14ac:dyDescent="0.25">
      <c r="A42" s="1">
        <f t="shared" si="0"/>
        <v>38</v>
      </c>
      <c r="B42" s="1">
        <v>139.03627173357847</v>
      </c>
      <c r="C42" s="1">
        <v>412.584</v>
      </c>
      <c r="D42" s="1">
        <v>13.472578702418673</v>
      </c>
      <c r="E42" s="1">
        <v>240.8</v>
      </c>
      <c r="F42" s="1" t="s">
        <v>24</v>
      </c>
      <c r="G42" s="1" t="s">
        <v>19</v>
      </c>
      <c r="H42" s="1">
        <v>567.20000000000005</v>
      </c>
      <c r="I42" s="1" t="s">
        <v>23</v>
      </c>
      <c r="J42" s="1">
        <v>62.57</v>
      </c>
      <c r="K42" s="1" t="s">
        <v>43</v>
      </c>
      <c r="R42" s="1">
        <v>71.683271733578479</v>
      </c>
      <c r="S42" s="1">
        <v>495.10079999999999</v>
      </c>
      <c r="T42" s="1">
        <v>13.472578702418673</v>
      </c>
      <c r="U42" s="1">
        <v>240.8</v>
      </c>
      <c r="V42" s="1" t="s">
        <v>24</v>
      </c>
      <c r="W42" s="1" t="s">
        <v>19</v>
      </c>
      <c r="X42" s="1">
        <v>567.20000000000005</v>
      </c>
      <c r="Y42" s="1" t="s">
        <v>23</v>
      </c>
      <c r="Z42" s="1">
        <v>56.313000000000002</v>
      </c>
      <c r="AA42" s="1" t="s">
        <v>66</v>
      </c>
    </row>
    <row r="43" spans="1:27" x14ac:dyDescent="0.25">
      <c r="A43" s="1">
        <f t="shared" si="0"/>
        <v>39</v>
      </c>
      <c r="B43" s="1">
        <v>139.03627173357847</v>
      </c>
      <c r="C43" s="1">
        <v>412.71600000000001</v>
      </c>
      <c r="D43" s="1">
        <v>13.6925787024187</v>
      </c>
      <c r="E43" s="1">
        <v>291</v>
      </c>
      <c r="F43" s="1" t="s">
        <v>26</v>
      </c>
      <c r="G43" s="1" t="s">
        <v>25</v>
      </c>
      <c r="H43" s="1">
        <v>567.20000000000005</v>
      </c>
      <c r="I43" s="1" t="s">
        <v>23</v>
      </c>
      <c r="J43" s="1">
        <v>62.6</v>
      </c>
      <c r="K43" s="1" t="s">
        <v>43</v>
      </c>
      <c r="R43" s="1">
        <v>71.683271733578479</v>
      </c>
      <c r="S43" s="1">
        <v>495.25919999999996</v>
      </c>
      <c r="T43" s="1">
        <v>13.6925787024187</v>
      </c>
      <c r="U43" s="1">
        <v>291</v>
      </c>
      <c r="V43" s="1" t="s">
        <v>26</v>
      </c>
      <c r="W43" s="1" t="s">
        <v>25</v>
      </c>
      <c r="X43" s="1">
        <v>567.20000000000005</v>
      </c>
      <c r="Y43" s="1" t="s">
        <v>23</v>
      </c>
      <c r="Z43" s="1">
        <v>56.34</v>
      </c>
      <c r="AA43" s="1" t="s">
        <v>66</v>
      </c>
    </row>
    <row r="44" spans="1:27" x14ac:dyDescent="0.25">
      <c r="A44" s="1">
        <f t="shared" si="0"/>
        <v>40</v>
      </c>
      <c r="B44" s="1">
        <v>143.86192606369596</v>
      </c>
      <c r="C44" s="1">
        <v>420.01799999999997</v>
      </c>
      <c r="D44" s="1">
        <v>14.530543680022276</v>
      </c>
      <c r="E44" s="1">
        <v>34</v>
      </c>
      <c r="F44" s="1" t="s">
        <v>24</v>
      </c>
      <c r="G44" s="1" t="s">
        <v>19</v>
      </c>
      <c r="H44" s="1">
        <v>575.29999999999995</v>
      </c>
      <c r="I44" s="1" t="s">
        <v>23</v>
      </c>
      <c r="J44" s="1">
        <v>63.4</v>
      </c>
      <c r="K44" s="1" t="s">
        <v>43</v>
      </c>
      <c r="R44" s="1">
        <v>76.508926063695966</v>
      </c>
      <c r="S44" s="1">
        <v>504.02159999999992</v>
      </c>
      <c r="T44" s="1">
        <v>14.530543680022276</v>
      </c>
      <c r="U44" s="1">
        <v>34</v>
      </c>
      <c r="V44" s="1" t="s">
        <v>24</v>
      </c>
      <c r="W44" s="1" t="s">
        <v>19</v>
      </c>
      <c r="X44" s="1">
        <v>575.29999999999995</v>
      </c>
      <c r="Y44" s="1" t="s">
        <v>23</v>
      </c>
      <c r="Z44" s="1">
        <v>57.06</v>
      </c>
      <c r="AA44" s="1" t="s">
        <v>66</v>
      </c>
    </row>
    <row r="45" spans="1:27" x14ac:dyDescent="0.25">
      <c r="A45" s="1">
        <f t="shared" si="0"/>
        <v>41</v>
      </c>
      <c r="B45" s="1">
        <v>143.86192606369596</v>
      </c>
      <c r="C45" s="1">
        <v>420.04200000000003</v>
      </c>
      <c r="D45" s="1">
        <v>14.570543680022354</v>
      </c>
      <c r="E45" s="1">
        <v>36</v>
      </c>
      <c r="F45" s="1" t="s">
        <v>26</v>
      </c>
      <c r="G45" s="1" t="s">
        <v>25</v>
      </c>
      <c r="H45" s="1">
        <v>575.29999999999995</v>
      </c>
      <c r="I45" s="1" t="s">
        <v>23</v>
      </c>
      <c r="J45" s="1">
        <v>63.7</v>
      </c>
      <c r="K45" s="1" t="s">
        <v>43</v>
      </c>
      <c r="R45" s="1">
        <v>76.508926063695966</v>
      </c>
      <c r="S45" s="1">
        <v>504.05040000000002</v>
      </c>
      <c r="T45" s="1">
        <v>14.570543680022354</v>
      </c>
      <c r="U45" s="1">
        <v>36</v>
      </c>
      <c r="V45" s="1" t="s">
        <v>26</v>
      </c>
      <c r="W45" s="1" t="s">
        <v>25</v>
      </c>
      <c r="X45" s="1">
        <v>575.29999999999995</v>
      </c>
      <c r="Y45" s="1" t="s">
        <v>23</v>
      </c>
      <c r="Z45" s="1">
        <v>57.33</v>
      </c>
      <c r="AA45" s="1" t="s">
        <v>66</v>
      </c>
    </row>
    <row r="46" spans="1:27" x14ac:dyDescent="0.25">
      <c r="A46" s="1">
        <f t="shared" si="0"/>
        <v>42</v>
      </c>
      <c r="B46" s="1">
        <v>147.43308286914376</v>
      </c>
      <c r="C46" s="1">
        <v>420.88200000000001</v>
      </c>
      <c r="D46" s="1">
        <v>7.5844324458970505</v>
      </c>
      <c r="E46" s="1">
        <v>14.1</v>
      </c>
      <c r="F46" s="1" t="s">
        <v>26</v>
      </c>
      <c r="G46" s="1" t="s">
        <v>19</v>
      </c>
      <c r="H46" s="1">
        <v>581.29999999999995</v>
      </c>
      <c r="I46" s="1" t="s">
        <v>23</v>
      </c>
      <c r="J46" s="1">
        <v>64.099999999999994</v>
      </c>
      <c r="K46" s="1" t="s">
        <v>43</v>
      </c>
      <c r="R46" s="1">
        <v>80.080082869143766</v>
      </c>
      <c r="S46" s="1">
        <v>505.05840000000001</v>
      </c>
      <c r="T46" s="1">
        <v>7.5844324458970505</v>
      </c>
      <c r="U46" s="1">
        <v>14.1</v>
      </c>
      <c r="V46" s="1" t="s">
        <v>26</v>
      </c>
      <c r="W46" s="1" t="s">
        <v>19</v>
      </c>
      <c r="X46" s="1">
        <v>581.29999999999995</v>
      </c>
      <c r="Y46" s="1" t="s">
        <v>23</v>
      </c>
      <c r="Z46" s="1">
        <v>57.689999999999991</v>
      </c>
      <c r="AA46" s="1" t="s">
        <v>66</v>
      </c>
    </row>
    <row r="47" spans="1:27" x14ac:dyDescent="0.25">
      <c r="A47" s="1">
        <f t="shared" si="0"/>
        <v>43</v>
      </c>
      <c r="B47" s="1">
        <v>152.90292424026225</v>
      </c>
      <c r="C47" s="1">
        <v>428.67599999999999</v>
      </c>
      <c r="D47" s="1">
        <v>7.7296595417096796</v>
      </c>
      <c r="E47" s="1">
        <v>1054.7</v>
      </c>
      <c r="F47" s="1" t="s">
        <v>26</v>
      </c>
      <c r="G47" s="1" t="s">
        <v>25</v>
      </c>
      <c r="H47" s="1">
        <v>590.5</v>
      </c>
      <c r="I47" s="1" t="s">
        <v>23</v>
      </c>
      <c r="J47" s="1">
        <v>64.2</v>
      </c>
      <c r="K47" s="1" t="s">
        <v>43</v>
      </c>
      <c r="R47" s="1">
        <v>85.549924240262257</v>
      </c>
      <c r="S47" s="1">
        <v>514.41120000000001</v>
      </c>
      <c r="T47" s="1">
        <v>7.7296595417096796</v>
      </c>
      <c r="U47" s="1">
        <v>1054.7</v>
      </c>
      <c r="V47" s="1" t="s">
        <v>26</v>
      </c>
      <c r="W47" s="1" t="s">
        <v>25</v>
      </c>
      <c r="X47" s="1">
        <v>590.5</v>
      </c>
      <c r="Y47" s="1" t="s">
        <v>23</v>
      </c>
      <c r="Z47" s="1">
        <v>57.78</v>
      </c>
      <c r="AA47" s="1" t="s">
        <v>66</v>
      </c>
    </row>
    <row r="48" spans="1:27" x14ac:dyDescent="0.25">
      <c r="A48" s="1">
        <f t="shared" si="0"/>
        <v>44</v>
      </c>
      <c r="B48" s="1">
        <v>152.90292424026225</v>
      </c>
      <c r="C48" s="1">
        <v>428.89800000000002</v>
      </c>
      <c r="D48" s="1">
        <v>8.0996595417096842</v>
      </c>
      <c r="E48" s="1">
        <v>1094.5</v>
      </c>
      <c r="F48" s="1" t="s">
        <v>24</v>
      </c>
      <c r="G48" s="1" t="s">
        <v>25</v>
      </c>
      <c r="H48" s="1">
        <v>590.5</v>
      </c>
      <c r="I48" s="1" t="s">
        <v>23</v>
      </c>
      <c r="J48" s="1">
        <v>64.239999999999995</v>
      </c>
      <c r="K48" s="1" t="s">
        <v>43</v>
      </c>
      <c r="R48" s="1">
        <v>85.549924240262257</v>
      </c>
      <c r="S48" s="1">
        <v>514.67759999999998</v>
      </c>
      <c r="T48" s="1">
        <v>8.0996595417096842</v>
      </c>
      <c r="U48" s="1">
        <v>1094.5</v>
      </c>
      <c r="V48" s="1" t="s">
        <v>24</v>
      </c>
      <c r="W48" s="1" t="s">
        <v>25</v>
      </c>
      <c r="X48" s="1">
        <v>590.5</v>
      </c>
      <c r="Y48" s="1" t="s">
        <v>23</v>
      </c>
      <c r="Z48" s="1">
        <v>57.815999999999995</v>
      </c>
      <c r="AA48" s="1" t="s">
        <v>66</v>
      </c>
    </row>
    <row r="49" spans="1:27" x14ac:dyDescent="0.25">
      <c r="A49" s="1">
        <f t="shared" si="0"/>
        <v>45</v>
      </c>
      <c r="B49" s="1">
        <v>156.22903790890828</v>
      </c>
      <c r="C49" s="1">
        <v>432.738</v>
      </c>
      <c r="D49" s="1">
        <v>6.6889806154695748</v>
      </c>
      <c r="E49" s="1">
        <v>234.1</v>
      </c>
      <c r="F49" s="1" t="s">
        <v>26</v>
      </c>
      <c r="G49" s="1" t="s">
        <v>19</v>
      </c>
      <c r="H49" s="1">
        <v>596.1</v>
      </c>
      <c r="I49" s="1" t="s">
        <v>23</v>
      </c>
      <c r="J49" s="1">
        <v>64.44</v>
      </c>
      <c r="K49" s="1" t="s">
        <v>43</v>
      </c>
      <c r="R49" s="1">
        <v>88.876037908908287</v>
      </c>
      <c r="S49" s="1">
        <v>519.28559999999993</v>
      </c>
      <c r="T49" s="1">
        <v>6.6889806154695748</v>
      </c>
      <c r="U49" s="1">
        <v>234.1</v>
      </c>
      <c r="V49" s="1" t="s">
        <v>26</v>
      </c>
      <c r="W49" s="1" t="s">
        <v>19</v>
      </c>
      <c r="X49" s="1">
        <v>596.1</v>
      </c>
      <c r="Y49" s="1" t="s">
        <v>23</v>
      </c>
      <c r="Z49" s="1">
        <v>57.995999999999995</v>
      </c>
      <c r="AA49" s="1" t="s">
        <v>66</v>
      </c>
    </row>
    <row r="50" spans="1:27" x14ac:dyDescent="0.25">
      <c r="A50" s="1">
        <f t="shared" si="0"/>
        <v>46</v>
      </c>
      <c r="B50" s="1">
        <v>162.34014533619856</v>
      </c>
      <c r="C50" s="1">
        <v>440.00400000000002</v>
      </c>
      <c r="D50" s="1">
        <v>4.4483291484810934</v>
      </c>
      <c r="E50" s="1">
        <v>182.7</v>
      </c>
      <c r="F50" s="1" t="s">
        <v>26</v>
      </c>
      <c r="G50" s="1" t="s">
        <v>25</v>
      </c>
      <c r="H50" s="1">
        <v>606.4</v>
      </c>
      <c r="I50" s="1" t="s">
        <v>23</v>
      </c>
      <c r="J50" s="1">
        <v>64.61</v>
      </c>
      <c r="K50" s="1" t="s">
        <v>43</v>
      </c>
      <c r="R50" s="1">
        <v>94.987145336198566</v>
      </c>
      <c r="S50" s="1">
        <v>528.00480000000005</v>
      </c>
      <c r="T50" s="1">
        <v>4.4483291484810934</v>
      </c>
      <c r="U50" s="1">
        <v>182.7</v>
      </c>
      <c r="V50" s="1" t="s">
        <v>26</v>
      </c>
      <c r="W50" s="1" t="s">
        <v>25</v>
      </c>
      <c r="X50" s="1">
        <v>606.4</v>
      </c>
      <c r="Y50" s="1" t="s">
        <v>23</v>
      </c>
      <c r="Z50" s="1">
        <v>58.148999999999994</v>
      </c>
      <c r="AA50" s="1" t="s">
        <v>66</v>
      </c>
    </row>
    <row r="51" spans="1:27" x14ac:dyDescent="0.25">
      <c r="A51" s="1">
        <f t="shared" si="0"/>
        <v>47</v>
      </c>
      <c r="B51" s="1">
        <v>162.34014533619856</v>
      </c>
      <c r="C51" s="1">
        <v>440.142</v>
      </c>
      <c r="D51" s="1">
        <v>4.6783291484811116</v>
      </c>
      <c r="E51" s="1">
        <v>184.5</v>
      </c>
      <c r="F51" s="1" t="s">
        <v>26</v>
      </c>
      <c r="G51" s="1" t="s">
        <v>25</v>
      </c>
      <c r="H51" s="1">
        <v>606.4</v>
      </c>
      <c r="I51" s="1" t="s">
        <v>23</v>
      </c>
      <c r="J51" s="1">
        <v>64.7</v>
      </c>
      <c r="K51" s="1" t="s">
        <v>43</v>
      </c>
      <c r="R51" s="1">
        <v>94.987145336198566</v>
      </c>
      <c r="S51" s="1">
        <v>528.17039999999997</v>
      </c>
      <c r="T51" s="1">
        <v>4.6783291484811116</v>
      </c>
      <c r="U51" s="1">
        <v>184.5</v>
      </c>
      <c r="V51" s="1" t="s">
        <v>26</v>
      </c>
      <c r="W51" s="1" t="s">
        <v>25</v>
      </c>
      <c r="X51" s="1">
        <v>606.4</v>
      </c>
      <c r="Y51" s="1" t="s">
        <v>23</v>
      </c>
      <c r="Z51" s="1">
        <v>58.23</v>
      </c>
      <c r="AA51" s="1" t="s">
        <v>66</v>
      </c>
    </row>
    <row r="52" spans="1:27" x14ac:dyDescent="0.25">
      <c r="A52" s="1">
        <f t="shared" si="0"/>
        <v>48</v>
      </c>
      <c r="B52" s="1">
        <v>164.47384956154696</v>
      </c>
      <c r="C52" s="1">
        <v>442.95599999999996</v>
      </c>
      <c r="D52" s="1">
        <v>4.3577732000001106</v>
      </c>
      <c r="E52" s="1">
        <v>1608.8</v>
      </c>
      <c r="F52" s="1" t="s">
        <v>26</v>
      </c>
      <c r="G52" s="1" t="s">
        <v>25</v>
      </c>
      <c r="H52" s="1">
        <v>610</v>
      </c>
      <c r="I52" s="1" t="s">
        <v>23</v>
      </c>
      <c r="J52" s="1">
        <v>64.959999999999994</v>
      </c>
      <c r="K52" s="1" t="s">
        <v>43</v>
      </c>
      <c r="R52" s="1">
        <v>97.120849561546962</v>
      </c>
      <c r="S52" s="1">
        <v>531.54719999999998</v>
      </c>
      <c r="T52" s="1">
        <v>4.3577732000001106</v>
      </c>
      <c r="U52" s="1">
        <v>1608.8</v>
      </c>
      <c r="V52" s="1" t="s">
        <v>26</v>
      </c>
      <c r="W52" s="1" t="s">
        <v>25</v>
      </c>
      <c r="X52" s="1">
        <v>610</v>
      </c>
      <c r="Y52" s="1" t="s">
        <v>23</v>
      </c>
      <c r="Z52" s="1">
        <v>58.463999999999999</v>
      </c>
      <c r="AA52" s="1" t="s">
        <v>66</v>
      </c>
    </row>
    <row r="53" spans="1:27" x14ac:dyDescent="0.25">
      <c r="A53" s="1">
        <f t="shared" si="0"/>
        <v>49</v>
      </c>
      <c r="B53" s="1">
        <v>169.38762607807553</v>
      </c>
      <c r="C53" s="1">
        <v>448.60199999999998</v>
      </c>
      <c r="D53" s="1">
        <v>2.2288017428019202</v>
      </c>
      <c r="E53" s="1">
        <v>269.5</v>
      </c>
      <c r="F53" s="1" t="s">
        <v>24</v>
      </c>
      <c r="G53" s="1" t="s">
        <v>19</v>
      </c>
      <c r="H53" s="1">
        <v>618.29999999999995</v>
      </c>
      <c r="I53" s="1" t="s">
        <v>23</v>
      </c>
      <c r="J53" s="1">
        <v>65.069999999999993</v>
      </c>
      <c r="K53" s="1" t="s">
        <v>43</v>
      </c>
      <c r="R53" s="1">
        <v>102.03462607807553</v>
      </c>
      <c r="S53" s="1">
        <v>538.3223999999999</v>
      </c>
      <c r="T53" s="1">
        <v>2.2288017428019202</v>
      </c>
      <c r="U53" s="1">
        <v>269.5</v>
      </c>
      <c r="V53" s="1" t="s">
        <v>24</v>
      </c>
      <c r="W53" s="1" t="s">
        <v>19</v>
      </c>
      <c r="X53" s="1">
        <v>618.29999999999995</v>
      </c>
      <c r="Y53" s="1" t="s">
        <v>23</v>
      </c>
      <c r="Z53" s="1">
        <v>58.562999999999995</v>
      </c>
      <c r="AA53" s="1" t="s">
        <v>66</v>
      </c>
    </row>
    <row r="54" spans="1:27" x14ac:dyDescent="0.25">
      <c r="A54" s="1">
        <f t="shared" si="0"/>
        <v>50</v>
      </c>
      <c r="B54" s="1">
        <v>169.38762607807553</v>
      </c>
      <c r="C54" s="1">
        <v>448.67399999999998</v>
      </c>
      <c r="D54" s="1">
        <v>2.3488017428019248</v>
      </c>
      <c r="E54" s="1">
        <v>303.3</v>
      </c>
      <c r="F54" s="1" t="s">
        <v>26</v>
      </c>
      <c r="G54" s="1" t="s">
        <v>25</v>
      </c>
      <c r="H54" s="1">
        <v>618.29999999999995</v>
      </c>
      <c r="I54" s="1" t="s">
        <v>23</v>
      </c>
      <c r="J54" s="1">
        <v>65.260000000000005</v>
      </c>
      <c r="K54" s="1" t="s">
        <v>43</v>
      </c>
      <c r="R54" s="1">
        <v>102.03462607807553</v>
      </c>
      <c r="S54" s="1">
        <v>538.40879999999993</v>
      </c>
      <c r="T54" s="1">
        <v>2.3488017428019248</v>
      </c>
      <c r="U54" s="1">
        <v>303.3</v>
      </c>
      <c r="V54" s="1" t="s">
        <v>26</v>
      </c>
      <c r="W54" s="1" t="s">
        <v>25</v>
      </c>
      <c r="X54" s="1">
        <v>618.29999999999995</v>
      </c>
      <c r="Y54" s="1" t="s">
        <v>23</v>
      </c>
      <c r="Z54" s="1">
        <v>58.734000000000009</v>
      </c>
      <c r="AA54" s="1" t="s">
        <v>66</v>
      </c>
    </row>
    <row r="55" spans="1:27" x14ac:dyDescent="0.25">
      <c r="A55" s="1">
        <f t="shared" si="0"/>
        <v>51</v>
      </c>
      <c r="B55" s="1">
        <v>180.54447779041408</v>
      </c>
      <c r="C55" s="1">
        <v>465.88799999999998</v>
      </c>
      <c r="D55" s="1">
        <v>4.8392802489312317</v>
      </c>
      <c r="E55" s="1">
        <v>17.899999999999999</v>
      </c>
      <c r="F55" s="1" t="s">
        <v>24</v>
      </c>
      <c r="G55" s="1" t="s">
        <v>25</v>
      </c>
      <c r="H55" s="1">
        <v>637.20000000000005</v>
      </c>
      <c r="I55" s="1" t="s">
        <v>23</v>
      </c>
      <c r="J55" s="1">
        <v>65.7</v>
      </c>
      <c r="K55" s="1" t="s">
        <v>43</v>
      </c>
      <c r="R55" s="1">
        <v>113.19147779041408</v>
      </c>
      <c r="S55" s="1">
        <v>559.0655999999999</v>
      </c>
      <c r="T55" s="1">
        <v>4.8392802489312317</v>
      </c>
      <c r="U55" s="1">
        <v>17.899999999999999</v>
      </c>
      <c r="V55" s="1" t="s">
        <v>24</v>
      </c>
      <c r="W55" s="1" t="s">
        <v>25</v>
      </c>
      <c r="X55" s="1">
        <v>637.20000000000005</v>
      </c>
      <c r="Y55" s="1" t="s">
        <v>23</v>
      </c>
      <c r="Z55" s="1">
        <v>59.13</v>
      </c>
      <c r="AA55" s="1" t="s">
        <v>66</v>
      </c>
    </row>
    <row r="56" spans="1:27" x14ac:dyDescent="0.25">
      <c r="A56" s="1">
        <f t="shared" si="0"/>
        <v>52</v>
      </c>
      <c r="B56" s="1">
        <v>389.65131375349102</v>
      </c>
      <c r="C56" s="1" t="s">
        <v>47</v>
      </c>
      <c r="D56" s="1">
        <v>-1262.6841775816645</v>
      </c>
      <c r="F56" s="1" t="s">
        <v>22</v>
      </c>
      <c r="G56" s="1" t="s">
        <v>15</v>
      </c>
      <c r="H56" s="1">
        <v>1001.7</v>
      </c>
      <c r="I56" s="1" t="s">
        <v>23</v>
      </c>
      <c r="J56" s="1">
        <v>75.900000000000006</v>
      </c>
      <c r="K56" s="1" t="s">
        <v>43</v>
      </c>
      <c r="R56" s="1">
        <v>322.29831375349102</v>
      </c>
      <c r="S56" s="1" t="e">
        <v>#VALUE!</v>
      </c>
      <c r="T56" s="1">
        <v>-1262.6841775816645</v>
      </c>
      <c r="V56" s="1" t="s">
        <v>22</v>
      </c>
      <c r="W56" s="1" t="s">
        <v>15</v>
      </c>
      <c r="X56" s="1">
        <v>1001.7</v>
      </c>
      <c r="Y56" s="1" t="s">
        <v>23</v>
      </c>
      <c r="Z56" s="1">
        <v>68.31</v>
      </c>
      <c r="AA56" s="1" t="s">
        <v>66</v>
      </c>
    </row>
    <row r="57" spans="1:27" x14ac:dyDescent="0.25">
      <c r="A57" s="1">
        <f t="shared" si="0"/>
        <v>53</v>
      </c>
      <c r="B57" s="1">
        <v>388.96567044257421</v>
      </c>
      <c r="C57" s="1" t="s">
        <v>47</v>
      </c>
      <c r="D57" s="1">
        <v>-1261.0740883625322</v>
      </c>
      <c r="F57" s="1" t="s">
        <v>22</v>
      </c>
      <c r="G57" s="1" t="s">
        <v>15</v>
      </c>
      <c r="H57" s="1">
        <v>1000.5</v>
      </c>
      <c r="I57" s="1" t="s">
        <v>23</v>
      </c>
      <c r="J57" s="1">
        <v>77</v>
      </c>
      <c r="K57" s="1" t="s">
        <v>43</v>
      </c>
      <c r="R57" s="1">
        <v>321.6126704425742</v>
      </c>
      <c r="S57" s="1" t="e">
        <v>#VALUE!</v>
      </c>
      <c r="T57" s="1">
        <v>-1261.0740883625322</v>
      </c>
      <c r="V57" s="1" t="s">
        <v>22</v>
      </c>
      <c r="W57" s="1" t="s">
        <v>15</v>
      </c>
      <c r="X57" s="1">
        <v>1000.5</v>
      </c>
      <c r="Y57" s="1" t="s">
        <v>23</v>
      </c>
      <c r="Z57" s="1">
        <v>69.3</v>
      </c>
      <c r="AA57" s="1" t="s">
        <v>66</v>
      </c>
    </row>
    <row r="58" spans="1:27" x14ac:dyDescent="0.25">
      <c r="A58" s="1">
        <f t="shared" si="0"/>
        <v>54</v>
      </c>
      <c r="B58" s="1">
        <v>388.39429021457363</v>
      </c>
      <c r="C58" s="1" t="s">
        <v>47</v>
      </c>
      <c r="D58" s="1">
        <v>-1259.7323219798063</v>
      </c>
      <c r="F58" s="1" t="s">
        <v>22</v>
      </c>
      <c r="G58" s="1" t="s">
        <v>15</v>
      </c>
      <c r="H58" s="1">
        <v>999.5</v>
      </c>
      <c r="I58" s="1" t="s">
        <v>23</v>
      </c>
      <c r="J58" s="1">
        <v>77.47</v>
      </c>
      <c r="K58" s="1" t="s">
        <v>43</v>
      </c>
      <c r="R58" s="1">
        <v>321.04129021457362</v>
      </c>
      <c r="S58" s="1" t="e">
        <v>#VALUE!</v>
      </c>
      <c r="T58" s="1">
        <v>-1259.7323219798063</v>
      </c>
      <c r="V58" s="1" t="s">
        <v>22</v>
      </c>
      <c r="W58" s="1" t="s">
        <v>15</v>
      </c>
      <c r="X58" s="1">
        <v>999.5</v>
      </c>
      <c r="Y58" s="1" t="s">
        <v>23</v>
      </c>
      <c r="Z58" s="1">
        <v>69.722999999999999</v>
      </c>
      <c r="AA58" s="1" t="s">
        <v>66</v>
      </c>
    </row>
    <row r="59" spans="1:27" x14ac:dyDescent="0.25">
      <c r="A59" s="1">
        <f t="shared" si="0"/>
        <v>55</v>
      </c>
      <c r="B59" s="1">
        <v>394.393139733684</v>
      </c>
      <c r="C59" s="1" t="s">
        <v>47</v>
      </c>
      <c r="D59" s="1">
        <v>-1273.8193593418441</v>
      </c>
      <c r="F59" s="1" t="s">
        <v>22</v>
      </c>
      <c r="G59" s="1" t="s">
        <v>15</v>
      </c>
      <c r="H59" s="1">
        <v>1010</v>
      </c>
      <c r="I59" s="1" t="s">
        <v>23</v>
      </c>
      <c r="J59" s="1">
        <v>78</v>
      </c>
      <c r="K59" s="1" t="s">
        <v>43</v>
      </c>
      <c r="R59" s="1">
        <v>327.04013973368399</v>
      </c>
      <c r="S59" s="1" t="e">
        <v>#VALUE!</v>
      </c>
      <c r="T59" s="1">
        <v>-1273.8193593418441</v>
      </c>
      <c r="V59" s="1" t="s">
        <v>22</v>
      </c>
      <c r="W59" s="1" t="s">
        <v>15</v>
      </c>
      <c r="X59" s="1">
        <v>1010</v>
      </c>
      <c r="Y59" s="1" t="s">
        <v>23</v>
      </c>
      <c r="Z59" s="1">
        <v>70.2</v>
      </c>
      <c r="AA59" s="1" t="s">
        <v>66</v>
      </c>
    </row>
    <row r="60" spans="1:27" x14ac:dyDescent="0.25">
      <c r="A60" s="1">
        <f t="shared" si="0"/>
        <v>56</v>
      </c>
      <c r="B60" s="1">
        <v>394.96430542607641</v>
      </c>
      <c r="C60" s="1" t="s">
        <v>47</v>
      </c>
      <c r="D60" s="1">
        <v>-1275.1606219327816</v>
      </c>
      <c r="F60" s="1" t="s">
        <v>27</v>
      </c>
      <c r="G60" s="1" t="s">
        <v>17</v>
      </c>
      <c r="H60" s="1">
        <v>1011</v>
      </c>
      <c r="I60" s="1" t="s">
        <v>23</v>
      </c>
      <c r="J60" s="1">
        <v>78.8</v>
      </c>
      <c r="K60" s="1" t="s">
        <v>43</v>
      </c>
      <c r="R60" s="1">
        <v>327.6113054260764</v>
      </c>
      <c r="S60" s="1" t="e">
        <v>#VALUE!</v>
      </c>
      <c r="T60" s="1">
        <v>-1275.1606219327816</v>
      </c>
      <c r="V60" s="1" t="s">
        <v>27</v>
      </c>
      <c r="W60" s="1" t="s">
        <v>17</v>
      </c>
      <c r="X60" s="1">
        <v>1011</v>
      </c>
      <c r="Y60" s="1" t="s">
        <v>23</v>
      </c>
      <c r="Z60" s="1">
        <v>70.92</v>
      </c>
      <c r="AA60" s="1" t="s">
        <v>66</v>
      </c>
    </row>
    <row r="61" spans="1:27" x14ac:dyDescent="0.25">
      <c r="A61" s="1">
        <f t="shared" si="0"/>
        <v>57</v>
      </c>
      <c r="B61" s="1">
        <v>398.44755068930135</v>
      </c>
      <c r="C61" s="1">
        <v>777.63599999999997</v>
      </c>
      <c r="D61" s="1">
        <v>12.719708614288436</v>
      </c>
      <c r="E61" s="1">
        <v>11.7</v>
      </c>
      <c r="F61" s="1" t="s">
        <v>26</v>
      </c>
      <c r="G61" s="1" t="s">
        <v>25</v>
      </c>
      <c r="H61" s="1">
        <v>1017.1</v>
      </c>
      <c r="I61" s="1" t="s">
        <v>23</v>
      </c>
      <c r="J61" s="1">
        <v>79.58</v>
      </c>
      <c r="K61" s="1" t="s">
        <v>43</v>
      </c>
      <c r="R61" s="1">
        <v>331.09455068930134</v>
      </c>
      <c r="S61" s="1">
        <v>933.16319999999996</v>
      </c>
      <c r="T61" s="1">
        <v>12.719708614288436</v>
      </c>
      <c r="U61" s="1">
        <v>11.7</v>
      </c>
      <c r="V61" s="1" t="s">
        <v>26</v>
      </c>
      <c r="W61" s="1" t="s">
        <v>25</v>
      </c>
      <c r="X61" s="1">
        <v>1017.1</v>
      </c>
      <c r="Y61" s="1" t="s">
        <v>23</v>
      </c>
      <c r="Z61" s="1">
        <v>71.622</v>
      </c>
      <c r="AA61" s="1" t="s">
        <v>66</v>
      </c>
    </row>
    <row r="62" spans="1:27" x14ac:dyDescent="0.25">
      <c r="A62" s="1">
        <f t="shared" si="0"/>
        <v>58</v>
      </c>
      <c r="B62" s="1">
        <v>400.55961455775463</v>
      </c>
      <c r="C62" s="1">
        <v>775.87199999999996</v>
      </c>
      <c r="D62" s="1">
        <v>4.8199704959827727</v>
      </c>
      <c r="E62" s="1">
        <v>13.3</v>
      </c>
      <c r="F62" s="1" t="s">
        <v>24</v>
      </c>
      <c r="G62" s="1" t="s">
        <v>25</v>
      </c>
      <c r="H62" s="1">
        <v>1020.8</v>
      </c>
      <c r="I62" s="1" t="s">
        <v>23</v>
      </c>
      <c r="J62" s="1">
        <v>80</v>
      </c>
      <c r="K62" s="1" t="s">
        <v>43</v>
      </c>
      <c r="R62" s="1">
        <v>333.20661455775462</v>
      </c>
      <c r="S62" s="1">
        <v>931.04639999999995</v>
      </c>
      <c r="T62" s="1">
        <v>4.8199704959827727</v>
      </c>
      <c r="U62" s="1">
        <v>13.3</v>
      </c>
      <c r="V62" s="1" t="s">
        <v>24</v>
      </c>
      <c r="W62" s="1" t="s">
        <v>25</v>
      </c>
      <c r="X62" s="1">
        <v>1020.8</v>
      </c>
      <c r="Y62" s="1" t="s">
        <v>23</v>
      </c>
      <c r="Z62" s="1">
        <v>72</v>
      </c>
      <c r="AA62" s="1" t="s">
        <v>66</v>
      </c>
    </row>
    <row r="63" spans="1:27" x14ac:dyDescent="0.25">
      <c r="A63" s="1">
        <f t="shared" si="0"/>
        <v>59</v>
      </c>
      <c r="B63" s="1">
        <v>400.55961455775463</v>
      </c>
      <c r="C63" s="1">
        <v>775.84799999999996</v>
      </c>
      <c r="D63" s="1">
        <v>4.7799704959828091</v>
      </c>
      <c r="E63" s="1">
        <v>13.3</v>
      </c>
      <c r="F63" s="1" t="s">
        <v>26</v>
      </c>
      <c r="G63" s="1" t="s">
        <v>25</v>
      </c>
      <c r="H63" s="1">
        <v>1020.8</v>
      </c>
      <c r="I63" s="1" t="s">
        <v>23</v>
      </c>
      <c r="J63" s="1">
        <v>80</v>
      </c>
      <c r="K63" s="1" t="s">
        <v>43</v>
      </c>
      <c r="R63" s="1">
        <v>333.20661455775462</v>
      </c>
      <c r="S63" s="1">
        <v>931.0175999999999</v>
      </c>
      <c r="T63" s="1">
        <v>4.7799704959828091</v>
      </c>
      <c r="U63" s="1">
        <v>13.3</v>
      </c>
      <c r="V63" s="1" t="s">
        <v>26</v>
      </c>
      <c r="W63" s="1" t="s">
        <v>25</v>
      </c>
      <c r="X63" s="1">
        <v>1020.8</v>
      </c>
      <c r="Y63" s="1" t="s">
        <v>23</v>
      </c>
      <c r="Z63" s="1">
        <v>72</v>
      </c>
      <c r="AA63" s="1" t="s">
        <v>66</v>
      </c>
    </row>
    <row r="64" spans="1:27" x14ac:dyDescent="0.25">
      <c r="A64" s="1">
        <f t="shared" si="0"/>
        <v>60</v>
      </c>
      <c r="B64" s="1">
        <v>404.21163758584777</v>
      </c>
      <c r="C64" s="1">
        <v>796.45799999999997</v>
      </c>
      <c r="D64" s="1">
        <v>30.553961933027665</v>
      </c>
      <c r="E64" s="1">
        <v>15.4</v>
      </c>
      <c r="F64" s="1" t="s">
        <v>24</v>
      </c>
      <c r="G64" s="1" t="s">
        <v>25</v>
      </c>
      <c r="H64" s="1">
        <v>1027.2</v>
      </c>
      <c r="I64" s="1" t="s">
        <v>23</v>
      </c>
      <c r="J64" s="1">
        <v>80.400000000000006</v>
      </c>
      <c r="K64" s="1" t="s">
        <v>43</v>
      </c>
      <c r="R64" s="1">
        <v>336.85863758584776</v>
      </c>
      <c r="S64" s="1">
        <v>955.74959999999987</v>
      </c>
      <c r="T64" s="1">
        <v>30.553961933027665</v>
      </c>
      <c r="U64" s="1">
        <v>15.4</v>
      </c>
      <c r="V64" s="1" t="s">
        <v>24</v>
      </c>
      <c r="W64" s="1" t="s">
        <v>25</v>
      </c>
      <c r="X64" s="1">
        <v>1027.2</v>
      </c>
      <c r="Y64" s="1" t="s">
        <v>23</v>
      </c>
      <c r="Z64" s="1">
        <v>72.360000000000014</v>
      </c>
      <c r="AA64" s="1" t="s">
        <v>66</v>
      </c>
    </row>
    <row r="65" spans="1:27" x14ac:dyDescent="0.25">
      <c r="A65" s="1">
        <f t="shared" si="0"/>
        <v>61</v>
      </c>
      <c r="B65" s="1">
        <v>414.93639118176208</v>
      </c>
      <c r="C65" s="1">
        <v>791.24400000000003</v>
      </c>
      <c r="D65" s="1">
        <v>-3.3208679452683896</v>
      </c>
      <c r="E65" s="1">
        <v>18.100000000000001</v>
      </c>
      <c r="F65" s="1" t="s">
        <v>24</v>
      </c>
      <c r="G65" s="1" t="s">
        <v>25</v>
      </c>
      <c r="H65" s="1">
        <v>1046</v>
      </c>
      <c r="I65" s="1" t="s">
        <v>23</v>
      </c>
      <c r="J65" s="1">
        <v>81.3</v>
      </c>
      <c r="K65" s="1" t="s">
        <v>43</v>
      </c>
      <c r="R65" s="1">
        <v>347.58339118176207</v>
      </c>
      <c r="S65" s="1">
        <v>949.49279999999999</v>
      </c>
      <c r="T65" s="1">
        <v>-3.3208679452683896</v>
      </c>
      <c r="U65" s="1">
        <v>18.100000000000001</v>
      </c>
      <c r="V65" s="1" t="s">
        <v>24</v>
      </c>
      <c r="W65" s="1" t="s">
        <v>25</v>
      </c>
      <c r="X65" s="1">
        <v>1046</v>
      </c>
      <c r="Y65" s="1" t="s">
        <v>23</v>
      </c>
      <c r="Z65" s="1">
        <v>73.17</v>
      </c>
      <c r="AA65" s="1" t="s">
        <v>66</v>
      </c>
    </row>
    <row r="66" spans="1:27" x14ac:dyDescent="0.25">
      <c r="A66" s="1">
        <f t="shared" si="0"/>
        <v>62</v>
      </c>
      <c r="B66" s="1">
        <v>414.93639118176208</v>
      </c>
      <c r="C66" s="1">
        <v>791.14799999999991</v>
      </c>
      <c r="D66" s="1">
        <v>-3.4808679452684714</v>
      </c>
      <c r="E66" s="1">
        <v>18.2</v>
      </c>
      <c r="F66" s="1" t="s">
        <v>26</v>
      </c>
      <c r="G66" s="1" t="s">
        <v>19</v>
      </c>
      <c r="H66" s="1">
        <v>1046</v>
      </c>
      <c r="I66" s="1" t="s">
        <v>23</v>
      </c>
      <c r="J66" s="1">
        <v>81.400000000000006</v>
      </c>
      <c r="K66" s="1" t="s">
        <v>43</v>
      </c>
      <c r="R66" s="1">
        <v>347.58339118176207</v>
      </c>
      <c r="S66" s="1">
        <v>949.3775999999998</v>
      </c>
      <c r="T66" s="1">
        <v>-3.4808679452684714</v>
      </c>
      <c r="U66" s="1">
        <v>18.2</v>
      </c>
      <c r="V66" s="1" t="s">
        <v>26</v>
      </c>
      <c r="W66" s="1" t="s">
        <v>19</v>
      </c>
      <c r="X66" s="1">
        <v>1046</v>
      </c>
      <c r="Y66" s="1" t="s">
        <v>23</v>
      </c>
      <c r="Z66" s="1">
        <v>73.260000000000005</v>
      </c>
      <c r="AA66" s="1" t="s">
        <v>66</v>
      </c>
    </row>
    <row r="67" spans="1:27" x14ac:dyDescent="0.25">
      <c r="A67" s="1">
        <f t="shared" si="0"/>
        <v>63</v>
      </c>
      <c r="B67" s="1">
        <v>417.21790544572224</v>
      </c>
      <c r="C67" s="1">
        <v>793.87800000000004</v>
      </c>
      <c r="D67" s="1">
        <v>-4.2885247052925592</v>
      </c>
      <c r="E67" s="1">
        <v>40.5</v>
      </c>
      <c r="F67" s="1" t="s">
        <v>24</v>
      </c>
      <c r="G67" s="1" t="s">
        <v>25</v>
      </c>
      <c r="H67" s="1">
        <v>1050</v>
      </c>
      <c r="I67" s="1" t="s">
        <v>23</v>
      </c>
      <c r="J67" s="1">
        <v>81.599999999999994</v>
      </c>
      <c r="K67" s="1" t="s">
        <v>43</v>
      </c>
      <c r="R67" s="1">
        <v>349.86490544572223</v>
      </c>
      <c r="S67" s="1">
        <v>952.65359999999998</v>
      </c>
      <c r="T67" s="1">
        <v>-4.2885247052925592</v>
      </c>
      <c r="U67" s="1">
        <v>40.5</v>
      </c>
      <c r="V67" s="1" t="s">
        <v>24</v>
      </c>
      <c r="W67" s="1" t="s">
        <v>25</v>
      </c>
      <c r="X67" s="1">
        <v>1050</v>
      </c>
      <c r="Y67" s="1" t="s">
        <v>23</v>
      </c>
      <c r="Z67" s="1">
        <v>73.44</v>
      </c>
      <c r="AA67" s="1" t="s">
        <v>66</v>
      </c>
    </row>
    <row r="68" spans="1:27" x14ac:dyDescent="0.25">
      <c r="A68" s="1">
        <f t="shared" si="0"/>
        <v>64</v>
      </c>
      <c r="B68" s="1">
        <v>417.21790544572224</v>
      </c>
      <c r="C68" s="1">
        <v>793.68599999999992</v>
      </c>
      <c r="D68" s="1">
        <v>-4.608524705292723</v>
      </c>
      <c r="E68" s="1">
        <v>40.9</v>
      </c>
      <c r="F68" s="1" t="s">
        <v>26</v>
      </c>
      <c r="G68" s="1" t="s">
        <v>19</v>
      </c>
      <c r="H68" s="1">
        <v>1050</v>
      </c>
      <c r="I68" s="1" t="s">
        <v>23</v>
      </c>
      <c r="J68" s="1">
        <v>81.599999999999994</v>
      </c>
      <c r="K68" s="1" t="s">
        <v>43</v>
      </c>
      <c r="R68" s="1">
        <v>349.86490544572223</v>
      </c>
      <c r="S68" s="1">
        <v>952.42319999999984</v>
      </c>
      <c r="T68" s="1">
        <v>-4.608524705292723</v>
      </c>
      <c r="U68" s="1">
        <v>40.9</v>
      </c>
      <c r="V68" s="1" t="s">
        <v>26</v>
      </c>
      <c r="W68" s="1" t="s">
        <v>19</v>
      </c>
      <c r="X68" s="1">
        <v>1050</v>
      </c>
      <c r="Y68" s="1" t="s">
        <v>23</v>
      </c>
      <c r="Z68" s="1">
        <v>73.44</v>
      </c>
      <c r="AA68" s="1" t="s">
        <v>66</v>
      </c>
    </row>
    <row r="69" spans="1:27" x14ac:dyDescent="0.25">
      <c r="A69" s="1">
        <f t="shared" si="0"/>
        <v>65</v>
      </c>
      <c r="B69" s="1">
        <v>419.95550876304776</v>
      </c>
      <c r="C69" s="1">
        <v>796.48799999999994</v>
      </c>
      <c r="D69" s="1">
        <v>-6.3672107543006291</v>
      </c>
      <c r="E69" s="1">
        <v>46.1</v>
      </c>
      <c r="F69" s="1" t="s">
        <v>24</v>
      </c>
      <c r="G69" s="1" t="s">
        <v>25</v>
      </c>
      <c r="H69" s="1">
        <v>1054.8</v>
      </c>
      <c r="I69" s="1" t="s">
        <v>23</v>
      </c>
      <c r="J69" s="1">
        <v>81.8</v>
      </c>
      <c r="K69" s="1" t="s">
        <v>43</v>
      </c>
      <c r="R69" s="1">
        <v>352.60250876304775</v>
      </c>
      <c r="S69" s="1">
        <v>955.78559999999993</v>
      </c>
      <c r="T69" s="1">
        <v>-6.3672107543006291</v>
      </c>
      <c r="U69" s="1">
        <v>46.1</v>
      </c>
      <c r="V69" s="1" t="s">
        <v>24</v>
      </c>
      <c r="W69" s="1" t="s">
        <v>25</v>
      </c>
      <c r="X69" s="1">
        <v>1054.8</v>
      </c>
      <c r="Y69" s="1" t="s">
        <v>23</v>
      </c>
      <c r="Z69" s="1">
        <v>73.62</v>
      </c>
      <c r="AA69" s="1" t="s">
        <v>66</v>
      </c>
    </row>
    <row r="70" spans="1:27" x14ac:dyDescent="0.25">
      <c r="A70" s="1">
        <f t="shared" ref="A70:A133" si="3">1+A69</f>
        <v>66</v>
      </c>
      <c r="B70" s="1">
        <v>422.57882694053228</v>
      </c>
      <c r="C70" s="1">
        <v>799.38599999999997</v>
      </c>
      <c r="D70" s="1">
        <v>-7.6975221708498225</v>
      </c>
      <c r="E70" s="1">
        <v>13.5</v>
      </c>
      <c r="F70" s="1" t="s">
        <v>24</v>
      </c>
      <c r="G70" s="1" t="s">
        <v>25</v>
      </c>
      <c r="H70" s="1">
        <v>1059.4000000000001</v>
      </c>
      <c r="I70" s="1" t="s">
        <v>23</v>
      </c>
      <c r="J70" s="1">
        <v>81.95</v>
      </c>
      <c r="K70" s="1" t="s">
        <v>43</v>
      </c>
      <c r="R70" s="1">
        <v>355.22582694053227</v>
      </c>
      <c r="S70" s="1">
        <v>959.26319999999987</v>
      </c>
      <c r="T70" s="1">
        <v>-7.6975221708498225</v>
      </c>
      <c r="U70" s="1">
        <v>13.5</v>
      </c>
      <c r="V70" s="1" t="s">
        <v>24</v>
      </c>
      <c r="W70" s="1" t="s">
        <v>25</v>
      </c>
      <c r="X70" s="1">
        <v>1059.4000000000001</v>
      </c>
      <c r="Y70" s="1" t="s">
        <v>23</v>
      </c>
      <c r="Z70" s="1">
        <v>73.754999999999995</v>
      </c>
      <c r="AA70" s="1" t="s">
        <v>66</v>
      </c>
    </row>
    <row r="71" spans="1:27" x14ac:dyDescent="0.25">
      <c r="A71" s="1">
        <f t="shared" si="3"/>
        <v>67</v>
      </c>
      <c r="B71" s="1">
        <v>422.57882694053228</v>
      </c>
      <c r="C71" s="1">
        <v>799.39799999999991</v>
      </c>
      <c r="D71" s="1">
        <v>-7.6775221708498407</v>
      </c>
      <c r="E71" s="1">
        <v>13.9</v>
      </c>
      <c r="F71" s="1" t="s">
        <v>26</v>
      </c>
      <c r="G71" s="1" t="s">
        <v>19</v>
      </c>
      <c r="H71" s="1">
        <v>1059.4000000000001</v>
      </c>
      <c r="I71" s="1" t="s">
        <v>23</v>
      </c>
      <c r="J71" s="1">
        <v>82.04</v>
      </c>
      <c r="K71" s="1" t="s">
        <v>43</v>
      </c>
      <c r="R71" s="1">
        <v>355.22582694053227</v>
      </c>
      <c r="S71" s="1">
        <v>959.27759999999989</v>
      </c>
      <c r="T71" s="1">
        <v>-7.6775221708498407</v>
      </c>
      <c r="U71" s="1">
        <v>13.9</v>
      </c>
      <c r="V71" s="1" t="s">
        <v>26</v>
      </c>
      <c r="W71" s="1" t="s">
        <v>19</v>
      </c>
      <c r="X71" s="1">
        <v>1059.4000000000001</v>
      </c>
      <c r="Y71" s="1" t="s">
        <v>23</v>
      </c>
      <c r="Z71" s="1">
        <v>73.835999999999999</v>
      </c>
      <c r="AA71" s="1" t="s">
        <v>66</v>
      </c>
    </row>
    <row r="72" spans="1:27" x14ac:dyDescent="0.25">
      <c r="A72" s="1">
        <f t="shared" si="3"/>
        <v>68</v>
      </c>
      <c r="B72" s="1">
        <v>424.97384432699579</v>
      </c>
      <c r="C72" s="1">
        <v>802.49400000000003</v>
      </c>
      <c r="D72" s="1">
        <v>-8.1417171599658218</v>
      </c>
      <c r="E72" s="1">
        <v>21.4</v>
      </c>
      <c r="F72" s="1" t="s">
        <v>24</v>
      </c>
      <c r="G72" s="1" t="s">
        <v>25</v>
      </c>
      <c r="H72" s="1">
        <v>1063.5999999999999</v>
      </c>
      <c r="I72" s="1" t="s">
        <v>23</v>
      </c>
      <c r="J72" s="1">
        <v>82.24</v>
      </c>
      <c r="K72" s="1" t="s">
        <v>43</v>
      </c>
      <c r="R72" s="1">
        <v>357.62084432699578</v>
      </c>
      <c r="S72" s="1">
        <v>962.99279999999999</v>
      </c>
      <c r="T72" s="1">
        <v>-8.1417171599658218</v>
      </c>
      <c r="U72" s="1">
        <v>21.4</v>
      </c>
      <c r="V72" s="1" t="s">
        <v>24</v>
      </c>
      <c r="W72" s="1" t="s">
        <v>25</v>
      </c>
      <c r="X72" s="1">
        <v>1063.5999999999999</v>
      </c>
      <c r="Y72" s="1" t="s">
        <v>23</v>
      </c>
      <c r="Z72" s="1">
        <v>74.015999999999991</v>
      </c>
      <c r="AA72" s="1" t="s">
        <v>66</v>
      </c>
    </row>
    <row r="73" spans="1:27" x14ac:dyDescent="0.25">
      <c r="A73" s="1">
        <f t="shared" si="3"/>
        <v>69</v>
      </c>
      <c r="B73" s="1">
        <v>424.97384432699579</v>
      </c>
      <c r="C73" s="1">
        <v>802.25999999999988</v>
      </c>
      <c r="D73" s="1">
        <v>-8.5317171599659218</v>
      </c>
      <c r="E73" s="1">
        <v>25.1</v>
      </c>
      <c r="F73" s="1" t="s">
        <v>26</v>
      </c>
      <c r="G73" s="1" t="s">
        <v>19</v>
      </c>
      <c r="H73" s="1">
        <v>1063.5999999999999</v>
      </c>
      <c r="I73" s="1" t="s">
        <v>23</v>
      </c>
      <c r="J73" s="1">
        <v>82.24</v>
      </c>
      <c r="K73" s="1" t="s">
        <v>43</v>
      </c>
      <c r="R73" s="1">
        <v>357.62084432699578</v>
      </c>
      <c r="S73" s="1">
        <v>962.71199999999976</v>
      </c>
      <c r="T73" s="1">
        <v>-8.5317171599659218</v>
      </c>
      <c r="U73" s="1">
        <v>25.1</v>
      </c>
      <c r="V73" s="1" t="s">
        <v>26</v>
      </c>
      <c r="W73" s="1" t="s">
        <v>19</v>
      </c>
      <c r="X73" s="1">
        <v>1063.5999999999999</v>
      </c>
      <c r="Y73" s="1" t="s">
        <v>23</v>
      </c>
      <c r="Z73" s="1">
        <v>74.015999999999991</v>
      </c>
      <c r="AA73" s="1" t="s">
        <v>66</v>
      </c>
    </row>
    <row r="74" spans="1:27" x14ac:dyDescent="0.25">
      <c r="A74" s="1">
        <f t="shared" si="3"/>
        <v>70</v>
      </c>
      <c r="B74" s="1">
        <v>427.82466263199723</v>
      </c>
      <c r="C74" s="1">
        <v>805.38599999999997</v>
      </c>
      <c r="D74" s="1">
        <v>-10.016264813978808</v>
      </c>
      <c r="E74" s="1">
        <v>18</v>
      </c>
      <c r="F74" s="1" t="s">
        <v>24</v>
      </c>
      <c r="G74" s="1" t="s">
        <v>25</v>
      </c>
      <c r="H74" s="1">
        <v>1068.5999999999999</v>
      </c>
      <c r="I74" s="1" t="s">
        <v>23</v>
      </c>
      <c r="J74" s="1">
        <v>82.4</v>
      </c>
      <c r="K74" s="1" t="s">
        <v>43</v>
      </c>
      <c r="R74" s="1">
        <v>360.47166263199722</v>
      </c>
      <c r="S74" s="1">
        <v>966.46319999999992</v>
      </c>
      <c r="T74" s="1">
        <v>-10.016264813978808</v>
      </c>
      <c r="U74" s="1">
        <v>18</v>
      </c>
      <c r="V74" s="1" t="s">
        <v>24</v>
      </c>
      <c r="W74" s="1" t="s">
        <v>25</v>
      </c>
      <c r="X74" s="1">
        <v>1068.5999999999999</v>
      </c>
      <c r="Y74" s="1" t="s">
        <v>23</v>
      </c>
      <c r="Z74" s="1">
        <v>74.160000000000011</v>
      </c>
      <c r="AA74" s="1" t="s">
        <v>66</v>
      </c>
    </row>
    <row r="75" spans="1:27" x14ac:dyDescent="0.25">
      <c r="A75" s="1">
        <f t="shared" si="3"/>
        <v>71</v>
      </c>
      <c r="B75" s="1">
        <v>427.82466263199723</v>
      </c>
      <c r="C75" s="1">
        <v>805.19999999999993</v>
      </c>
      <c r="D75" s="1">
        <v>-10.326264813978753</v>
      </c>
      <c r="E75" s="1">
        <v>18.600000000000001</v>
      </c>
      <c r="F75" s="1" t="s">
        <v>26</v>
      </c>
      <c r="G75" s="1" t="s">
        <v>19</v>
      </c>
      <c r="H75" s="1">
        <v>1068.5999999999999</v>
      </c>
      <c r="I75" s="1" t="s">
        <v>23</v>
      </c>
      <c r="J75" s="1">
        <v>82.4</v>
      </c>
      <c r="K75" s="1" t="s">
        <v>43</v>
      </c>
      <c r="R75" s="1">
        <v>360.47166263199722</v>
      </c>
      <c r="S75" s="1">
        <v>966.2399999999999</v>
      </c>
      <c r="T75" s="1">
        <v>-10.326264813978753</v>
      </c>
      <c r="U75" s="1">
        <v>18.600000000000001</v>
      </c>
      <c r="V75" s="1" t="s">
        <v>26</v>
      </c>
      <c r="W75" s="1" t="s">
        <v>19</v>
      </c>
      <c r="X75" s="1">
        <v>1068.5999999999999</v>
      </c>
      <c r="Y75" s="1" t="s">
        <v>23</v>
      </c>
      <c r="Z75" s="1">
        <v>74.160000000000011</v>
      </c>
      <c r="AA75" s="1" t="s">
        <v>66</v>
      </c>
    </row>
    <row r="76" spans="1:27" x14ac:dyDescent="0.25">
      <c r="A76" s="1">
        <f t="shared" si="3"/>
        <v>72</v>
      </c>
      <c r="B76" s="1">
        <v>430.21881712923766</v>
      </c>
      <c r="C76" s="1">
        <v>808.2299999999999</v>
      </c>
      <c r="D76" s="1">
        <v>-10.898433489101365</v>
      </c>
      <c r="E76" s="1">
        <v>26.2</v>
      </c>
      <c r="F76" s="1" t="s">
        <v>24</v>
      </c>
      <c r="G76" s="1" t="s">
        <v>25</v>
      </c>
      <c r="H76" s="1">
        <v>1072.8</v>
      </c>
      <c r="I76" s="1" t="s">
        <v>23</v>
      </c>
      <c r="J76" s="1">
        <v>82.5</v>
      </c>
      <c r="K76" s="1" t="s">
        <v>43</v>
      </c>
      <c r="R76" s="1">
        <v>362.86581712923766</v>
      </c>
      <c r="S76" s="1">
        <v>969.87599999999986</v>
      </c>
      <c r="T76" s="1">
        <v>-10.898433489101365</v>
      </c>
      <c r="U76" s="1">
        <v>26.2</v>
      </c>
      <c r="V76" s="1" t="s">
        <v>24</v>
      </c>
      <c r="W76" s="1" t="s">
        <v>25</v>
      </c>
      <c r="X76" s="1">
        <v>1072.8</v>
      </c>
      <c r="Y76" s="1" t="s">
        <v>23</v>
      </c>
      <c r="Z76" s="1">
        <v>74.25</v>
      </c>
      <c r="AA76" s="1" t="s">
        <v>66</v>
      </c>
    </row>
    <row r="77" spans="1:27" x14ac:dyDescent="0.25">
      <c r="A77" s="1">
        <f t="shared" si="3"/>
        <v>73</v>
      </c>
      <c r="B77" s="1">
        <v>430.21881712923766</v>
      </c>
      <c r="C77" s="1">
        <v>808.11599999999987</v>
      </c>
      <c r="D77" s="1">
        <v>-11.088433489101419</v>
      </c>
      <c r="E77" s="1">
        <v>26.7</v>
      </c>
      <c r="F77" s="1" t="s">
        <v>26</v>
      </c>
      <c r="G77" s="1" t="s">
        <v>19</v>
      </c>
      <c r="H77" s="1">
        <v>1072.8</v>
      </c>
      <c r="I77" s="1" t="s">
        <v>23</v>
      </c>
      <c r="J77" s="1">
        <v>82.6</v>
      </c>
      <c r="K77" s="1" t="s">
        <v>43</v>
      </c>
      <c r="R77" s="1">
        <v>362.86581712923766</v>
      </c>
      <c r="S77" s="1">
        <v>969.73919999999976</v>
      </c>
      <c r="T77" s="1">
        <v>-11.088433489101419</v>
      </c>
      <c r="U77" s="1">
        <v>26.7</v>
      </c>
      <c r="V77" s="1" t="s">
        <v>26</v>
      </c>
      <c r="W77" s="1" t="s">
        <v>19</v>
      </c>
      <c r="X77" s="1">
        <v>1072.8</v>
      </c>
      <c r="Y77" s="1" t="s">
        <v>23</v>
      </c>
      <c r="Z77" s="1">
        <v>74.339999999999989</v>
      </c>
      <c r="AA77" s="1" t="s">
        <v>66</v>
      </c>
    </row>
    <row r="78" spans="1:27" x14ac:dyDescent="0.25">
      <c r="A78" s="1">
        <f t="shared" si="3"/>
        <v>74</v>
      </c>
      <c r="B78" s="1">
        <v>432.32754641549138</v>
      </c>
      <c r="C78" s="1">
        <v>826.92600000000004</v>
      </c>
      <c r="D78" s="1">
        <v>15.309658958084299</v>
      </c>
      <c r="E78" s="1">
        <v>14.3</v>
      </c>
      <c r="F78" s="1" t="s">
        <v>24</v>
      </c>
      <c r="G78" s="1" t="s">
        <v>25</v>
      </c>
      <c r="H78" s="1">
        <v>1076.5</v>
      </c>
      <c r="I78" s="1" t="s">
        <v>23</v>
      </c>
      <c r="J78" s="1">
        <v>82.8</v>
      </c>
      <c r="K78" s="1" t="s">
        <v>43</v>
      </c>
      <c r="R78" s="1">
        <v>364.97454641549137</v>
      </c>
      <c r="S78" s="1">
        <v>992.31119999999999</v>
      </c>
      <c r="T78" s="1">
        <v>15.309658958084299</v>
      </c>
      <c r="U78" s="1">
        <v>14.3</v>
      </c>
      <c r="V78" s="1" t="s">
        <v>24</v>
      </c>
      <c r="W78" s="1" t="s">
        <v>25</v>
      </c>
      <c r="X78" s="1">
        <v>1076.5</v>
      </c>
      <c r="Y78" s="1" t="s">
        <v>23</v>
      </c>
      <c r="Z78" s="1">
        <v>74.52</v>
      </c>
      <c r="AA78" s="1" t="s">
        <v>66</v>
      </c>
    </row>
    <row r="79" spans="1:27" x14ac:dyDescent="0.25">
      <c r="A79" s="1">
        <f t="shared" si="3"/>
        <v>75</v>
      </c>
      <c r="B79" s="1">
        <v>432.32754641549138</v>
      </c>
      <c r="C79" s="1">
        <v>826.72199999999987</v>
      </c>
      <c r="D79" s="1">
        <v>14.969658958084153</v>
      </c>
      <c r="E79" s="1">
        <v>14</v>
      </c>
      <c r="F79" s="1" t="s">
        <v>26</v>
      </c>
      <c r="G79" s="1" t="s">
        <v>19</v>
      </c>
      <c r="H79" s="1">
        <v>1076.5</v>
      </c>
      <c r="I79" s="1" t="s">
        <v>23</v>
      </c>
      <c r="J79" s="1">
        <v>82.9</v>
      </c>
      <c r="K79" s="1" t="s">
        <v>43</v>
      </c>
      <c r="R79" s="1">
        <v>364.97454641549137</v>
      </c>
      <c r="S79" s="1">
        <v>992.06639999999982</v>
      </c>
      <c r="T79" s="1">
        <v>14.969658958084153</v>
      </c>
      <c r="U79" s="1">
        <v>14</v>
      </c>
      <c r="V79" s="1" t="s">
        <v>26</v>
      </c>
      <c r="W79" s="1" t="s">
        <v>19</v>
      </c>
      <c r="X79" s="1">
        <v>1076.5</v>
      </c>
      <c r="Y79" s="1" t="s">
        <v>23</v>
      </c>
      <c r="Z79" s="1">
        <v>74.610000000000014</v>
      </c>
      <c r="AA79" s="1" t="s">
        <v>66</v>
      </c>
    </row>
    <row r="80" spans="1:27" x14ac:dyDescent="0.25">
      <c r="A80" s="1">
        <f t="shared" si="3"/>
        <v>76</v>
      </c>
      <c r="B80" s="1">
        <v>436.54386977890834</v>
      </c>
      <c r="C80" s="1">
        <v>821.57399999999996</v>
      </c>
      <c r="D80" s="1">
        <v>-3.5114903475740107</v>
      </c>
      <c r="E80" s="1">
        <v>16.7</v>
      </c>
      <c r="F80" s="1" t="s">
        <v>24</v>
      </c>
      <c r="G80" s="1" t="s">
        <v>25</v>
      </c>
      <c r="H80" s="1">
        <v>1083.9000000000001</v>
      </c>
      <c r="I80" s="1" t="s">
        <v>23</v>
      </c>
      <c r="J80" s="1">
        <v>83.01</v>
      </c>
      <c r="K80" s="1" t="s">
        <v>43</v>
      </c>
      <c r="R80" s="1">
        <v>369.19086977890834</v>
      </c>
      <c r="S80" s="1">
        <v>985.88879999999995</v>
      </c>
      <c r="T80" s="1">
        <v>-3.5114903475740107</v>
      </c>
      <c r="U80" s="1">
        <v>16.7</v>
      </c>
      <c r="V80" s="1" t="s">
        <v>24</v>
      </c>
      <c r="W80" s="1" t="s">
        <v>25</v>
      </c>
      <c r="X80" s="1">
        <v>1083.9000000000001</v>
      </c>
      <c r="Y80" s="1" t="s">
        <v>23</v>
      </c>
      <c r="Z80" s="1">
        <v>74.709000000000003</v>
      </c>
      <c r="AA80" s="1" t="s">
        <v>66</v>
      </c>
    </row>
    <row r="81" spans="1:27" x14ac:dyDescent="0.25">
      <c r="A81" s="1">
        <f t="shared" si="3"/>
        <v>77</v>
      </c>
      <c r="B81" s="1">
        <v>441.67178807333693</v>
      </c>
      <c r="C81" s="1" t="s">
        <v>47</v>
      </c>
      <c r="D81" s="1">
        <v>-1384.8433287655851</v>
      </c>
      <c r="F81" s="1" t="s">
        <v>22</v>
      </c>
      <c r="G81" s="1" t="s">
        <v>15</v>
      </c>
      <c r="H81" s="1">
        <v>1092.9000000000001</v>
      </c>
      <c r="I81" s="1" t="s">
        <v>23</v>
      </c>
      <c r="J81" s="1">
        <v>83.1</v>
      </c>
      <c r="K81" s="1" t="s">
        <v>43</v>
      </c>
      <c r="R81" s="1">
        <v>374.31878807333692</v>
      </c>
      <c r="S81" s="1" t="e">
        <v>#VALUE!</v>
      </c>
      <c r="T81" s="1">
        <v>-1384.8433287655851</v>
      </c>
      <c r="V81" s="1" t="s">
        <v>22</v>
      </c>
      <c r="W81" s="1" t="s">
        <v>15</v>
      </c>
      <c r="X81" s="1">
        <v>1092.9000000000001</v>
      </c>
      <c r="Y81" s="1" t="s">
        <v>23</v>
      </c>
      <c r="Z81" s="1">
        <v>74.789999999999992</v>
      </c>
      <c r="AA81" s="1" t="s">
        <v>66</v>
      </c>
    </row>
    <row r="82" spans="1:27" x14ac:dyDescent="0.25">
      <c r="A82" s="1">
        <f t="shared" si="3"/>
        <v>78</v>
      </c>
      <c r="B82" s="1">
        <v>441.84274041666089</v>
      </c>
      <c r="C82" s="1" t="s">
        <v>47</v>
      </c>
      <c r="D82" s="1">
        <v>-1385.2447744160988</v>
      </c>
      <c r="F82" s="1" t="s">
        <v>22</v>
      </c>
      <c r="G82" s="1" t="s">
        <v>15</v>
      </c>
      <c r="H82" s="1">
        <v>1093.2</v>
      </c>
      <c r="I82" s="1" t="s">
        <v>23</v>
      </c>
      <c r="J82" s="1">
        <v>83.2</v>
      </c>
      <c r="K82" s="1" t="s">
        <v>43</v>
      </c>
      <c r="R82" s="1">
        <v>374.48974041666088</v>
      </c>
      <c r="S82" s="1" t="e">
        <v>#VALUE!</v>
      </c>
      <c r="T82" s="1">
        <v>-1385.2447744160988</v>
      </c>
      <c r="V82" s="1" t="s">
        <v>22</v>
      </c>
      <c r="W82" s="1" t="s">
        <v>15</v>
      </c>
      <c r="X82" s="1">
        <v>1093.2</v>
      </c>
      <c r="Y82" s="1" t="s">
        <v>23</v>
      </c>
      <c r="Z82" s="1">
        <v>74.88</v>
      </c>
      <c r="AA82" s="1" t="s">
        <v>66</v>
      </c>
    </row>
    <row r="83" spans="1:27" x14ac:dyDescent="0.25">
      <c r="A83" s="1">
        <f t="shared" si="3"/>
        <v>79</v>
      </c>
      <c r="B83" s="1">
        <v>445.94602109528961</v>
      </c>
      <c r="C83" s="1">
        <v>827.08799999999997</v>
      </c>
      <c r="D83" s="1">
        <v>-16.400466733872065</v>
      </c>
      <c r="E83" s="1">
        <v>27</v>
      </c>
      <c r="F83" s="1" t="s">
        <v>26</v>
      </c>
      <c r="G83" s="1" t="s">
        <v>19</v>
      </c>
      <c r="H83" s="1">
        <v>1100.4000000000001</v>
      </c>
      <c r="I83" s="1" t="s">
        <v>23</v>
      </c>
      <c r="J83" s="1">
        <v>83.8</v>
      </c>
      <c r="K83" s="1" t="s">
        <v>43</v>
      </c>
      <c r="R83" s="1">
        <v>378.5930210952896</v>
      </c>
      <c r="S83" s="1">
        <v>992.50559999999996</v>
      </c>
      <c r="T83" s="1">
        <v>-16.400466733872065</v>
      </c>
      <c r="U83" s="1">
        <v>27</v>
      </c>
      <c r="V83" s="1" t="s">
        <v>26</v>
      </c>
      <c r="W83" s="1" t="s">
        <v>19</v>
      </c>
      <c r="X83" s="1">
        <v>1100.4000000000001</v>
      </c>
      <c r="Y83" s="1" t="s">
        <v>23</v>
      </c>
      <c r="Z83" s="1">
        <v>75.42</v>
      </c>
      <c r="AA83" s="1" t="s">
        <v>66</v>
      </c>
    </row>
    <row r="84" spans="1:27" x14ac:dyDescent="0.25">
      <c r="A84" s="1">
        <f t="shared" si="3"/>
        <v>80</v>
      </c>
      <c r="B84" s="1">
        <v>448.96679879217146</v>
      </c>
      <c r="C84" s="1">
        <v>829.39199999999994</v>
      </c>
      <c r="D84" s="1">
        <v>-19.654128300614786</v>
      </c>
      <c r="E84" s="1">
        <v>13.2</v>
      </c>
      <c r="F84" s="1" t="s">
        <v>24</v>
      </c>
      <c r="G84" s="1" t="s">
        <v>19</v>
      </c>
      <c r="H84" s="1">
        <v>1105.7</v>
      </c>
      <c r="I84" s="1" t="s">
        <v>23</v>
      </c>
      <c r="J84" s="1">
        <v>83.9</v>
      </c>
      <c r="K84" s="1" t="s">
        <v>43</v>
      </c>
      <c r="R84" s="1">
        <v>381.61379879217145</v>
      </c>
      <c r="S84" s="1">
        <v>995.27039999999988</v>
      </c>
      <c r="T84" s="1">
        <v>-19.654128300614786</v>
      </c>
      <c r="U84" s="1">
        <v>13.2</v>
      </c>
      <c r="V84" s="1" t="s">
        <v>24</v>
      </c>
      <c r="W84" s="1" t="s">
        <v>19</v>
      </c>
      <c r="X84" s="1">
        <v>1105.7</v>
      </c>
      <c r="Y84" s="1" t="s">
        <v>23</v>
      </c>
      <c r="Z84" s="1">
        <v>75.510000000000005</v>
      </c>
      <c r="AA84" s="1" t="s">
        <v>66</v>
      </c>
    </row>
    <row r="85" spans="1:27" x14ac:dyDescent="0.25">
      <c r="A85" s="1">
        <f t="shared" si="3"/>
        <v>81</v>
      </c>
      <c r="B85" s="1">
        <v>452.89871989788679</v>
      </c>
      <c r="C85" s="1">
        <v>834.08400000000006</v>
      </c>
      <c r="D85" s="1">
        <v>-21.067418674768135</v>
      </c>
      <c r="E85" s="1">
        <v>32.1</v>
      </c>
      <c r="F85" s="1" t="s">
        <v>24</v>
      </c>
      <c r="G85" s="1" t="s">
        <v>25</v>
      </c>
      <c r="H85" s="1">
        <v>1112.5999999999999</v>
      </c>
      <c r="I85" s="1" t="s">
        <v>23</v>
      </c>
      <c r="J85" s="1">
        <v>84.1</v>
      </c>
      <c r="K85" s="1" t="s">
        <v>43</v>
      </c>
      <c r="R85" s="1">
        <v>385.54571989788678</v>
      </c>
      <c r="S85" s="1">
        <v>1000.9008</v>
      </c>
      <c r="T85" s="1">
        <v>-21.067418674768135</v>
      </c>
      <c r="U85" s="1">
        <v>32.1</v>
      </c>
      <c r="V85" s="1" t="s">
        <v>24</v>
      </c>
      <c r="W85" s="1" t="s">
        <v>25</v>
      </c>
      <c r="X85" s="1">
        <v>1112.5999999999999</v>
      </c>
      <c r="Y85" s="1" t="s">
        <v>23</v>
      </c>
      <c r="Z85" s="1">
        <v>75.69</v>
      </c>
      <c r="AA85" s="1" t="s">
        <v>66</v>
      </c>
    </row>
    <row r="86" spans="1:27" x14ac:dyDescent="0.25">
      <c r="A86" s="1">
        <f t="shared" si="3"/>
        <v>82</v>
      </c>
      <c r="B86" s="1">
        <v>452.89871989788679</v>
      </c>
      <c r="C86" s="1">
        <v>833.80200000000002</v>
      </c>
      <c r="D86" s="1">
        <v>-21.537418674768162</v>
      </c>
      <c r="E86" s="1">
        <v>34.4</v>
      </c>
      <c r="F86" s="1" t="s">
        <v>26</v>
      </c>
      <c r="G86" s="1" t="s">
        <v>25</v>
      </c>
      <c r="H86" s="1">
        <v>1112.5999999999999</v>
      </c>
      <c r="I86" s="1" t="s">
        <v>23</v>
      </c>
      <c r="J86" s="1">
        <v>84.1</v>
      </c>
      <c r="K86" s="1" t="s">
        <v>43</v>
      </c>
      <c r="R86" s="1">
        <v>385.54571989788678</v>
      </c>
      <c r="S86" s="1">
        <v>1000.5624</v>
      </c>
      <c r="T86" s="1">
        <v>-21.537418674768162</v>
      </c>
      <c r="U86" s="1">
        <v>34.4</v>
      </c>
      <c r="V86" s="1" t="s">
        <v>26</v>
      </c>
      <c r="W86" s="1" t="s">
        <v>25</v>
      </c>
      <c r="X86" s="1">
        <v>1112.5999999999999</v>
      </c>
      <c r="Y86" s="1" t="s">
        <v>23</v>
      </c>
      <c r="Z86" s="1">
        <v>75.69</v>
      </c>
      <c r="AA86" s="1" t="s">
        <v>66</v>
      </c>
    </row>
    <row r="87" spans="1:27" x14ac:dyDescent="0.25">
      <c r="A87" s="1">
        <f t="shared" si="3"/>
        <v>83</v>
      </c>
      <c r="B87" s="1">
        <v>458.08278752646237</v>
      </c>
      <c r="C87" s="1" t="s">
        <v>47</v>
      </c>
      <c r="D87" s="1">
        <v>-1423.3811120035357</v>
      </c>
      <c r="F87" s="1" t="s">
        <v>22</v>
      </c>
      <c r="G87" s="1" t="s">
        <v>15</v>
      </c>
      <c r="H87" s="1">
        <v>1121.7</v>
      </c>
      <c r="I87" s="1" t="s">
        <v>23</v>
      </c>
      <c r="J87" s="1">
        <v>84.2</v>
      </c>
      <c r="K87" s="1" t="s">
        <v>43</v>
      </c>
      <c r="R87" s="1">
        <v>390.72978752646236</v>
      </c>
      <c r="S87" s="1" t="e">
        <v>#VALUE!</v>
      </c>
      <c r="T87" s="1">
        <v>-1423.3811120035357</v>
      </c>
      <c r="V87" s="1" t="s">
        <v>22</v>
      </c>
      <c r="W87" s="1" t="s">
        <v>15</v>
      </c>
      <c r="X87" s="1">
        <v>1121.7</v>
      </c>
      <c r="Y87" s="1" t="s">
        <v>23</v>
      </c>
      <c r="Z87" s="1">
        <v>75.78</v>
      </c>
      <c r="AA87" s="1" t="s">
        <v>66</v>
      </c>
    </row>
    <row r="88" spans="1:27" x14ac:dyDescent="0.25">
      <c r="A88" s="1">
        <f t="shared" si="3"/>
        <v>84</v>
      </c>
      <c r="B88" s="1">
        <v>467.36261908856278</v>
      </c>
      <c r="C88" s="1">
        <v>849.66</v>
      </c>
      <c r="D88" s="1">
        <v>-29.072846153938883</v>
      </c>
      <c r="E88" s="1">
        <v>75.400000000000006</v>
      </c>
      <c r="F88" s="1" t="s">
        <v>24</v>
      </c>
      <c r="G88" s="1" t="s">
        <v>19</v>
      </c>
      <c r="H88" s="1">
        <v>1138</v>
      </c>
      <c r="I88" s="1" t="s">
        <v>23</v>
      </c>
      <c r="J88" s="1">
        <v>84.4</v>
      </c>
      <c r="K88" s="1" t="s">
        <v>43</v>
      </c>
      <c r="R88" s="1">
        <v>400.00961908856277</v>
      </c>
      <c r="S88" s="1">
        <v>1019.5919999999999</v>
      </c>
      <c r="T88" s="1">
        <v>-29.072846153938883</v>
      </c>
      <c r="U88" s="1">
        <v>75.400000000000006</v>
      </c>
      <c r="V88" s="1" t="s">
        <v>24</v>
      </c>
      <c r="W88" s="1" t="s">
        <v>19</v>
      </c>
      <c r="X88" s="1">
        <v>1138</v>
      </c>
      <c r="Y88" s="1" t="s">
        <v>23</v>
      </c>
      <c r="Z88" s="1">
        <v>75.960000000000008</v>
      </c>
      <c r="AA88" s="1" t="s">
        <v>66</v>
      </c>
    </row>
    <row r="89" spans="1:27" x14ac:dyDescent="0.25">
      <c r="A89" s="1">
        <f t="shared" si="3"/>
        <v>85</v>
      </c>
      <c r="B89" s="1">
        <v>468.50069511810011</v>
      </c>
      <c r="C89" s="1">
        <v>850.99199999999996</v>
      </c>
      <c r="D89" s="1">
        <v>-29.525378528331487</v>
      </c>
      <c r="E89" s="1">
        <v>193.4</v>
      </c>
      <c r="F89" s="1" t="s">
        <v>24</v>
      </c>
      <c r="G89" s="1" t="s">
        <v>25</v>
      </c>
      <c r="H89" s="1">
        <v>1140</v>
      </c>
      <c r="I89" s="1" t="s">
        <v>23</v>
      </c>
      <c r="J89" s="1">
        <v>84.5</v>
      </c>
      <c r="K89" s="1" t="s">
        <v>43</v>
      </c>
      <c r="R89" s="1">
        <v>401.1476951181001</v>
      </c>
      <c r="S89" s="1">
        <v>1021.1904</v>
      </c>
      <c r="T89" s="1">
        <v>-29.525378528331487</v>
      </c>
      <c r="U89" s="1">
        <v>193.4</v>
      </c>
      <c r="V89" s="1" t="s">
        <v>24</v>
      </c>
      <c r="W89" s="1" t="s">
        <v>25</v>
      </c>
      <c r="X89" s="1">
        <v>1140</v>
      </c>
      <c r="Y89" s="1" t="s">
        <v>23</v>
      </c>
      <c r="Z89" s="1">
        <v>76.05</v>
      </c>
      <c r="AA89" s="1" t="s">
        <v>66</v>
      </c>
    </row>
    <row r="90" spans="1:27" x14ac:dyDescent="0.25">
      <c r="A90" s="1">
        <f t="shared" si="3"/>
        <v>86</v>
      </c>
      <c r="B90" s="1">
        <v>468.50069511810011</v>
      </c>
      <c r="C90" s="1">
        <v>850.99799999999993</v>
      </c>
      <c r="D90" s="1">
        <v>-29.515378528331496</v>
      </c>
      <c r="E90" s="1">
        <v>197.7</v>
      </c>
      <c r="F90" s="1" t="s">
        <v>26</v>
      </c>
      <c r="G90" s="1" t="s">
        <v>25</v>
      </c>
      <c r="H90" s="1">
        <v>1140</v>
      </c>
      <c r="I90" s="1" t="s">
        <v>23</v>
      </c>
      <c r="J90" s="1">
        <v>84.5</v>
      </c>
      <c r="K90" s="1" t="s">
        <v>43</v>
      </c>
      <c r="R90" s="1">
        <v>401.1476951181001</v>
      </c>
      <c r="S90" s="1">
        <v>1021.1975999999999</v>
      </c>
      <c r="T90" s="1">
        <v>-29.515378528331496</v>
      </c>
      <c r="U90" s="1">
        <v>197.7</v>
      </c>
      <c r="V90" s="1" t="s">
        <v>26</v>
      </c>
      <c r="W90" s="1" t="s">
        <v>25</v>
      </c>
      <c r="X90" s="1">
        <v>1140</v>
      </c>
      <c r="Y90" s="1" t="s">
        <v>23</v>
      </c>
      <c r="Z90" s="1">
        <v>76.05</v>
      </c>
      <c r="AA90" s="1" t="s">
        <v>66</v>
      </c>
    </row>
    <row r="91" spans="1:27" x14ac:dyDescent="0.25">
      <c r="A91" s="1">
        <f t="shared" si="3"/>
        <v>87</v>
      </c>
      <c r="B91" s="1">
        <v>469.63867969003837</v>
      </c>
      <c r="C91" s="1">
        <v>851.95799999999997</v>
      </c>
      <c r="D91" s="1">
        <v>-30.587696133773363</v>
      </c>
      <c r="E91" s="1">
        <v>22.6</v>
      </c>
      <c r="F91" s="1" t="s">
        <v>26</v>
      </c>
      <c r="G91" s="1" t="s">
        <v>19</v>
      </c>
      <c r="H91" s="1">
        <v>1142</v>
      </c>
      <c r="I91" s="1" t="s">
        <v>23</v>
      </c>
      <c r="J91" s="1">
        <v>84.8</v>
      </c>
      <c r="K91" s="1" t="s">
        <v>43</v>
      </c>
      <c r="R91" s="1">
        <v>402.28567969003836</v>
      </c>
      <c r="S91" s="1">
        <v>1022.3495999999999</v>
      </c>
      <c r="T91" s="1">
        <v>-30.587696133773363</v>
      </c>
      <c r="U91" s="1">
        <v>22.6</v>
      </c>
      <c r="V91" s="1" t="s">
        <v>26</v>
      </c>
      <c r="W91" s="1" t="s">
        <v>19</v>
      </c>
      <c r="X91" s="1">
        <v>1142</v>
      </c>
      <c r="Y91" s="1" t="s">
        <v>23</v>
      </c>
      <c r="Z91" s="1">
        <v>76.319999999999993</v>
      </c>
      <c r="AA91" s="1" t="s">
        <v>66</v>
      </c>
    </row>
    <row r="92" spans="1:27" x14ac:dyDescent="0.25">
      <c r="A92" s="1">
        <f t="shared" si="3"/>
        <v>88</v>
      </c>
      <c r="B92" s="1">
        <v>472.88357932686648</v>
      </c>
      <c r="C92" s="1">
        <v>856.85399999999993</v>
      </c>
      <c r="D92" s="1">
        <v>-30.047660974438315</v>
      </c>
      <c r="E92" s="1">
        <v>19.899999999999999</v>
      </c>
      <c r="F92" s="1" t="s">
        <v>24</v>
      </c>
      <c r="G92" s="1" t="s">
        <v>25</v>
      </c>
      <c r="H92" s="1">
        <v>1147.7</v>
      </c>
      <c r="I92" s="1" t="s">
        <v>23</v>
      </c>
      <c r="J92" s="1">
        <v>85</v>
      </c>
      <c r="K92" s="1" t="s">
        <v>43</v>
      </c>
      <c r="R92" s="1">
        <v>405.53057932686647</v>
      </c>
      <c r="S92" s="1">
        <v>1028.2248</v>
      </c>
      <c r="T92" s="1">
        <v>-30.047660974438315</v>
      </c>
      <c r="U92" s="1">
        <v>19.899999999999999</v>
      </c>
      <c r="V92" s="1" t="s">
        <v>24</v>
      </c>
      <c r="W92" s="1" t="s">
        <v>25</v>
      </c>
      <c r="X92" s="1">
        <v>1147.7</v>
      </c>
      <c r="Y92" s="1" t="s">
        <v>23</v>
      </c>
      <c r="Z92" s="1">
        <v>76.5</v>
      </c>
      <c r="AA92" s="1" t="s">
        <v>66</v>
      </c>
    </row>
    <row r="93" spans="1:27" x14ac:dyDescent="0.25">
      <c r="A93" s="1">
        <f t="shared" si="3"/>
        <v>89</v>
      </c>
      <c r="B93" s="1">
        <v>484.97256058699958</v>
      </c>
      <c r="C93" s="1">
        <v>872.54399999999998</v>
      </c>
      <c r="D93" s="1">
        <v>-32.286092812569052</v>
      </c>
      <c r="E93" s="1">
        <v>57</v>
      </c>
      <c r="F93" s="1" t="s">
        <v>24</v>
      </c>
      <c r="G93" s="1" t="s">
        <v>19</v>
      </c>
      <c r="H93" s="1">
        <v>1168.9000000000001</v>
      </c>
      <c r="I93" s="1" t="s">
        <v>23</v>
      </c>
      <c r="J93" s="1">
        <v>85.7</v>
      </c>
      <c r="K93" s="1" t="s">
        <v>43</v>
      </c>
      <c r="R93" s="1">
        <v>417.61956058699957</v>
      </c>
      <c r="S93" s="1">
        <v>1047.0527999999999</v>
      </c>
      <c r="T93" s="1">
        <v>-32.286092812569052</v>
      </c>
      <c r="U93" s="1">
        <v>57</v>
      </c>
      <c r="V93" s="1" t="s">
        <v>24</v>
      </c>
      <c r="W93" s="1" t="s">
        <v>19</v>
      </c>
      <c r="X93" s="1">
        <v>1168.9000000000001</v>
      </c>
      <c r="Y93" s="1" t="s">
        <v>23</v>
      </c>
      <c r="Z93" s="1">
        <v>77.13</v>
      </c>
      <c r="AA93" s="1" t="s">
        <v>66</v>
      </c>
    </row>
    <row r="94" spans="1:27" x14ac:dyDescent="0.25">
      <c r="A94" s="1">
        <f t="shared" si="3"/>
        <v>90</v>
      </c>
      <c r="B94" s="1">
        <v>487.3695143655396</v>
      </c>
      <c r="C94" s="1">
        <v>875.71799999999996</v>
      </c>
      <c r="D94" s="1">
        <v>-32.624835011519792</v>
      </c>
      <c r="E94" s="1">
        <v>12.9</v>
      </c>
      <c r="F94" s="1" t="s">
        <v>26</v>
      </c>
      <c r="G94" s="1" t="s">
        <v>25</v>
      </c>
      <c r="H94" s="1">
        <v>1173.0999999999999</v>
      </c>
      <c r="I94" s="1" t="s">
        <v>23</v>
      </c>
      <c r="J94" s="1">
        <v>86.1</v>
      </c>
      <c r="K94" s="1" t="s">
        <v>43</v>
      </c>
      <c r="R94" s="1">
        <v>420.01651436553959</v>
      </c>
      <c r="S94" s="1">
        <v>1050.8616</v>
      </c>
      <c r="T94" s="1">
        <v>-32.624835011519792</v>
      </c>
      <c r="U94" s="1">
        <v>12.9</v>
      </c>
      <c r="V94" s="1" t="s">
        <v>26</v>
      </c>
      <c r="W94" s="1" t="s">
        <v>25</v>
      </c>
      <c r="X94" s="1">
        <v>1173.0999999999999</v>
      </c>
      <c r="Y94" s="1" t="s">
        <v>23</v>
      </c>
      <c r="Z94" s="1">
        <v>77.489999999999995</v>
      </c>
      <c r="AA94" s="1" t="s">
        <v>66</v>
      </c>
    </row>
    <row r="95" spans="1:27" x14ac:dyDescent="0.25">
      <c r="A95" s="1">
        <f t="shared" si="3"/>
        <v>91</v>
      </c>
      <c r="B95" s="1">
        <v>493.13481648613936</v>
      </c>
      <c r="C95" s="1">
        <v>884.74199999999996</v>
      </c>
      <c r="D95" s="1">
        <v>-31.123435391075247</v>
      </c>
      <c r="E95" s="1">
        <v>185.6</v>
      </c>
      <c r="F95" s="1" t="s">
        <v>26</v>
      </c>
      <c r="G95" s="1" t="s">
        <v>25</v>
      </c>
      <c r="H95" s="1">
        <v>1183.2</v>
      </c>
      <c r="I95" s="1" t="s">
        <v>23</v>
      </c>
      <c r="J95" s="1">
        <v>86.2</v>
      </c>
      <c r="K95" s="1" t="s">
        <v>43</v>
      </c>
      <c r="R95" s="1">
        <v>425.78181648613935</v>
      </c>
      <c r="S95" s="1">
        <v>1061.6904</v>
      </c>
      <c r="T95" s="1">
        <v>-31.123435391075247</v>
      </c>
      <c r="U95" s="1">
        <v>185.6</v>
      </c>
      <c r="V95" s="1" t="s">
        <v>26</v>
      </c>
      <c r="W95" s="1" t="s">
        <v>25</v>
      </c>
      <c r="X95" s="1">
        <v>1183.2</v>
      </c>
      <c r="Y95" s="1" t="s">
        <v>23</v>
      </c>
      <c r="Z95" s="1">
        <v>77.58</v>
      </c>
      <c r="AA95" s="1" t="s">
        <v>66</v>
      </c>
    </row>
    <row r="96" spans="1:27" x14ac:dyDescent="0.25">
      <c r="A96" s="1">
        <f t="shared" si="3"/>
        <v>92</v>
      </c>
      <c r="B96" s="1">
        <v>500.72568448666681</v>
      </c>
      <c r="C96" s="1">
        <v>894.61799999999994</v>
      </c>
      <c r="D96" s="1">
        <v>-32.48899357403576</v>
      </c>
      <c r="E96" s="1">
        <v>172</v>
      </c>
      <c r="F96" s="1" t="s">
        <v>24</v>
      </c>
      <c r="G96" s="1" t="s">
        <v>19</v>
      </c>
      <c r="H96" s="1">
        <v>1196.5</v>
      </c>
      <c r="I96" s="1" t="s">
        <v>23</v>
      </c>
      <c r="J96" s="1">
        <v>86.3</v>
      </c>
      <c r="K96" s="1" t="s">
        <v>43</v>
      </c>
      <c r="R96" s="1">
        <v>433.3726844866668</v>
      </c>
      <c r="S96" s="1">
        <v>1073.5415999999998</v>
      </c>
      <c r="T96" s="1">
        <v>-32.48899357403576</v>
      </c>
      <c r="U96" s="1">
        <v>172</v>
      </c>
      <c r="V96" s="1" t="s">
        <v>24</v>
      </c>
      <c r="W96" s="1" t="s">
        <v>19</v>
      </c>
      <c r="X96" s="1">
        <v>1196.5</v>
      </c>
      <c r="Y96" s="1" t="s">
        <v>23</v>
      </c>
      <c r="Z96" s="1">
        <v>77.67</v>
      </c>
      <c r="AA96" s="1" t="s">
        <v>66</v>
      </c>
    </row>
    <row r="97" spans="1:27" x14ac:dyDescent="0.25">
      <c r="A97" s="1">
        <f t="shared" si="3"/>
        <v>93</v>
      </c>
      <c r="B97" s="1">
        <v>503.63622598839083</v>
      </c>
      <c r="C97" s="1">
        <v>899.82600000000002</v>
      </c>
      <c r="D97" s="1">
        <v>-30.643788603971473</v>
      </c>
      <c r="E97" s="1">
        <v>22.3</v>
      </c>
      <c r="F97" s="1" t="s">
        <v>24</v>
      </c>
      <c r="G97" s="1" t="s">
        <v>25</v>
      </c>
      <c r="H97" s="1">
        <v>1201.5999999999999</v>
      </c>
      <c r="I97" s="1" t="s">
        <v>23</v>
      </c>
      <c r="J97" s="1">
        <v>87.1</v>
      </c>
      <c r="K97" s="1" t="s">
        <v>43</v>
      </c>
      <c r="R97" s="1">
        <v>436.28322598839083</v>
      </c>
      <c r="S97" s="1">
        <v>1079.7911999999999</v>
      </c>
      <c r="T97" s="1">
        <v>-30.643788603971473</v>
      </c>
      <c r="U97" s="1">
        <v>22.3</v>
      </c>
      <c r="V97" s="1" t="s">
        <v>24</v>
      </c>
      <c r="W97" s="1" t="s">
        <v>25</v>
      </c>
      <c r="X97" s="1">
        <v>1201.5999999999999</v>
      </c>
      <c r="Y97" s="1" t="s">
        <v>23</v>
      </c>
      <c r="Z97" s="1">
        <v>78.389999999999986</v>
      </c>
      <c r="AA97" s="1" t="s">
        <v>66</v>
      </c>
    </row>
    <row r="98" spans="1:27" x14ac:dyDescent="0.25">
      <c r="A98" s="1">
        <f t="shared" si="3"/>
        <v>94</v>
      </c>
      <c r="B98" s="1">
        <v>506.71839732018543</v>
      </c>
      <c r="C98" s="1">
        <v>903.3599999999999</v>
      </c>
      <c r="D98" s="1">
        <v>-31.991620219663048</v>
      </c>
      <c r="E98" s="1">
        <v>85.2</v>
      </c>
      <c r="F98" s="1" t="s">
        <v>24</v>
      </c>
      <c r="G98" s="1" t="s">
        <v>25</v>
      </c>
      <c r="H98" s="1">
        <v>1207</v>
      </c>
      <c r="I98" s="1" t="s">
        <v>23</v>
      </c>
      <c r="J98" s="1">
        <v>87.3</v>
      </c>
      <c r="K98" s="1" t="s">
        <v>43</v>
      </c>
      <c r="R98" s="1">
        <v>439.36539732018542</v>
      </c>
      <c r="S98" s="1">
        <v>1084.0319999999999</v>
      </c>
      <c r="T98" s="1">
        <v>-31.991620219663048</v>
      </c>
      <c r="U98" s="1">
        <v>85.2</v>
      </c>
      <c r="V98" s="1" t="s">
        <v>24</v>
      </c>
      <c r="W98" s="1" t="s">
        <v>25</v>
      </c>
      <c r="X98" s="1">
        <v>1207</v>
      </c>
      <c r="Y98" s="1" t="s">
        <v>23</v>
      </c>
      <c r="Z98" s="1">
        <v>78.569999999999993</v>
      </c>
      <c r="AA98" s="1" t="s">
        <v>66</v>
      </c>
    </row>
    <row r="99" spans="1:27" x14ac:dyDescent="0.25">
      <c r="A99" s="1">
        <f t="shared" si="3"/>
        <v>95</v>
      </c>
      <c r="B99" s="1">
        <v>506.71839732018543</v>
      </c>
      <c r="C99" s="1">
        <v>903.37199999999996</v>
      </c>
      <c r="D99" s="1">
        <v>-31.971620219663066</v>
      </c>
      <c r="E99" s="1">
        <v>90.3</v>
      </c>
      <c r="F99" s="1" t="s">
        <v>26</v>
      </c>
      <c r="G99" s="1" t="s">
        <v>19</v>
      </c>
      <c r="H99" s="1">
        <v>1207</v>
      </c>
      <c r="I99" s="1" t="s">
        <v>23</v>
      </c>
      <c r="J99" s="1">
        <v>87.3</v>
      </c>
      <c r="K99" s="1" t="s">
        <v>43</v>
      </c>
      <c r="R99" s="1">
        <v>439.36539732018542</v>
      </c>
      <c r="S99" s="1">
        <v>1084.0463999999999</v>
      </c>
      <c r="T99" s="1">
        <v>-31.971620219663066</v>
      </c>
      <c r="U99" s="1">
        <v>90.3</v>
      </c>
      <c r="V99" s="1" t="s">
        <v>26</v>
      </c>
      <c r="W99" s="1" t="s">
        <v>19</v>
      </c>
      <c r="X99" s="1">
        <v>1207</v>
      </c>
      <c r="Y99" s="1" t="s">
        <v>23</v>
      </c>
      <c r="Z99" s="1">
        <v>78.569999999999993</v>
      </c>
      <c r="AA99" s="1" t="s">
        <v>66</v>
      </c>
    </row>
    <row r="100" spans="1:27" x14ac:dyDescent="0.25">
      <c r="A100" s="1">
        <f t="shared" si="3"/>
        <v>96</v>
      </c>
      <c r="B100" s="1">
        <v>511.28539149333164</v>
      </c>
      <c r="C100" s="1">
        <v>909.6</v>
      </c>
      <c r="D100" s="1">
        <v>-32.316246224093732</v>
      </c>
      <c r="E100" s="1">
        <v>47.7</v>
      </c>
      <c r="F100" s="1" t="s">
        <v>24</v>
      </c>
      <c r="G100" s="1" t="s">
        <v>25</v>
      </c>
      <c r="H100" s="1">
        <v>1215</v>
      </c>
      <c r="I100" s="1" t="s">
        <v>23</v>
      </c>
      <c r="J100" s="1">
        <v>87.4</v>
      </c>
      <c r="K100" s="1" t="s">
        <v>43</v>
      </c>
      <c r="R100" s="1">
        <v>443.93239149333164</v>
      </c>
      <c r="S100" s="1">
        <v>1091.52</v>
      </c>
      <c r="T100" s="1">
        <v>-32.316246224093732</v>
      </c>
      <c r="U100" s="1">
        <v>47.7</v>
      </c>
      <c r="V100" s="1" t="s">
        <v>24</v>
      </c>
      <c r="W100" s="1" t="s">
        <v>25</v>
      </c>
      <c r="X100" s="1">
        <v>1215</v>
      </c>
      <c r="Y100" s="1" t="s">
        <v>23</v>
      </c>
      <c r="Z100" s="1">
        <v>78.660000000000011</v>
      </c>
      <c r="AA100" s="1" t="s">
        <v>66</v>
      </c>
    </row>
    <row r="101" spans="1:27" x14ac:dyDescent="0.25">
      <c r="A101" s="1">
        <f t="shared" si="3"/>
        <v>97</v>
      </c>
      <c r="B101" s="1">
        <v>516.02522072011959</v>
      </c>
      <c r="C101" s="1">
        <v>920.12399999999991</v>
      </c>
      <c r="D101" s="1">
        <v>-25.906739028544564</v>
      </c>
      <c r="E101" s="1">
        <v>11.8</v>
      </c>
      <c r="F101" s="1" t="s">
        <v>24</v>
      </c>
      <c r="G101" s="1" t="s">
        <v>25</v>
      </c>
      <c r="H101" s="1">
        <v>1223.3</v>
      </c>
      <c r="I101" s="1" t="s">
        <v>23</v>
      </c>
      <c r="J101" s="1">
        <v>87.6</v>
      </c>
      <c r="K101" s="1" t="s">
        <v>43</v>
      </c>
      <c r="R101" s="1">
        <v>448.67222072011958</v>
      </c>
      <c r="S101" s="1">
        <v>1104.1487999999999</v>
      </c>
      <c r="T101" s="1">
        <v>-25.906739028544564</v>
      </c>
      <c r="U101" s="1">
        <v>11.8</v>
      </c>
      <c r="V101" s="1" t="s">
        <v>24</v>
      </c>
      <c r="W101" s="1" t="s">
        <v>25</v>
      </c>
      <c r="X101" s="1">
        <v>1223.3</v>
      </c>
      <c r="Y101" s="1" t="s">
        <v>23</v>
      </c>
      <c r="Z101" s="1">
        <v>78.839999999999989</v>
      </c>
      <c r="AA101" s="1" t="s">
        <v>66</v>
      </c>
    </row>
    <row r="102" spans="1:27" x14ac:dyDescent="0.25">
      <c r="A102" s="1">
        <f t="shared" si="3"/>
        <v>98</v>
      </c>
      <c r="B102" s="1">
        <v>516.02522072011959</v>
      </c>
      <c r="C102" s="1">
        <v>919.96199999999999</v>
      </c>
      <c r="D102" s="1">
        <v>-26.176739028544546</v>
      </c>
      <c r="E102" s="1">
        <v>11.7</v>
      </c>
      <c r="F102" s="1" t="s">
        <v>26</v>
      </c>
      <c r="G102" s="1" t="s">
        <v>19</v>
      </c>
      <c r="H102" s="1">
        <v>1223.3</v>
      </c>
      <c r="I102" s="1" t="s">
        <v>23</v>
      </c>
      <c r="J102" s="1">
        <v>87.7</v>
      </c>
      <c r="K102" s="1" t="s">
        <v>43</v>
      </c>
      <c r="R102" s="1">
        <v>448.67222072011958</v>
      </c>
      <c r="S102" s="1">
        <v>1103.9543999999999</v>
      </c>
      <c r="T102" s="1">
        <v>-26.176739028544546</v>
      </c>
      <c r="U102" s="1">
        <v>11.7</v>
      </c>
      <c r="V102" s="1" t="s">
        <v>26</v>
      </c>
      <c r="W102" s="1" t="s">
        <v>19</v>
      </c>
      <c r="X102" s="1">
        <v>1223.3</v>
      </c>
      <c r="Y102" s="1" t="s">
        <v>23</v>
      </c>
      <c r="Z102" s="1">
        <v>78.930000000000007</v>
      </c>
      <c r="AA102" s="1" t="s">
        <v>66</v>
      </c>
    </row>
    <row r="103" spans="1:27" x14ac:dyDescent="0.25">
      <c r="A103" s="1">
        <f t="shared" si="3"/>
        <v>99</v>
      </c>
      <c r="B103" s="1">
        <v>519.85328502481525</v>
      </c>
      <c r="C103" s="1">
        <v>928.05599999999993</v>
      </c>
      <c r="D103" s="1">
        <v>-21.676143532314711</v>
      </c>
      <c r="E103" s="1">
        <v>11.2</v>
      </c>
      <c r="F103" s="1" t="s">
        <v>24</v>
      </c>
      <c r="G103" s="1" t="s">
        <v>25</v>
      </c>
      <c r="H103" s="1">
        <v>1230</v>
      </c>
      <c r="I103" s="1" t="s">
        <v>23</v>
      </c>
      <c r="J103" s="1">
        <v>87.8</v>
      </c>
      <c r="K103" s="1" t="s">
        <v>43</v>
      </c>
      <c r="R103" s="1">
        <v>452.50028502481524</v>
      </c>
      <c r="S103" s="1">
        <v>1113.6671999999999</v>
      </c>
      <c r="T103" s="1">
        <v>-21.676143532314711</v>
      </c>
      <c r="U103" s="1">
        <v>11.2</v>
      </c>
      <c r="V103" s="1" t="s">
        <v>24</v>
      </c>
      <c r="W103" s="1" t="s">
        <v>25</v>
      </c>
      <c r="X103" s="1">
        <v>1230</v>
      </c>
      <c r="Y103" s="1" t="s">
        <v>23</v>
      </c>
      <c r="Z103" s="1">
        <v>79.02</v>
      </c>
      <c r="AA103" s="1" t="s">
        <v>66</v>
      </c>
    </row>
    <row r="104" spans="1:27" x14ac:dyDescent="0.25">
      <c r="A104" s="1">
        <f t="shared" si="3"/>
        <v>100</v>
      </c>
      <c r="B104" s="1">
        <v>519.85328502481525</v>
      </c>
      <c r="C104" s="1">
        <v>928.00800000000004</v>
      </c>
      <c r="D104" s="1">
        <v>-21.756143532314638</v>
      </c>
      <c r="E104" s="1">
        <v>11.1</v>
      </c>
      <c r="F104" s="1" t="s">
        <v>26</v>
      </c>
      <c r="G104" s="1" t="s">
        <v>19</v>
      </c>
      <c r="H104" s="1">
        <v>1230</v>
      </c>
      <c r="I104" s="1" t="s">
        <v>23</v>
      </c>
      <c r="J104" s="1">
        <v>87.9</v>
      </c>
      <c r="K104" s="1" t="s">
        <v>43</v>
      </c>
      <c r="R104" s="1">
        <v>452.50028502481524</v>
      </c>
      <c r="S104" s="1">
        <v>1113.6096</v>
      </c>
      <c r="T104" s="1">
        <v>-21.756143532314638</v>
      </c>
      <c r="U104" s="1">
        <v>11.1</v>
      </c>
      <c r="V104" s="1" t="s">
        <v>26</v>
      </c>
      <c r="W104" s="1" t="s">
        <v>19</v>
      </c>
      <c r="X104" s="1">
        <v>1230</v>
      </c>
      <c r="Y104" s="1" t="s">
        <v>23</v>
      </c>
      <c r="Z104" s="1">
        <v>79.110000000000014</v>
      </c>
      <c r="AA104" s="1" t="s">
        <v>66</v>
      </c>
    </row>
    <row r="105" spans="1:27" x14ac:dyDescent="0.25">
      <c r="A105" s="1">
        <f t="shared" si="3"/>
        <v>101</v>
      </c>
      <c r="B105" s="1">
        <v>548.08173106820607</v>
      </c>
      <c r="C105" s="1">
        <v>963.08400000000006</v>
      </c>
      <c r="D105" s="1">
        <v>-29.584716502633967</v>
      </c>
      <c r="E105" s="1">
        <v>11</v>
      </c>
      <c r="F105" s="1" t="s">
        <v>24</v>
      </c>
      <c r="G105" s="1" t="s">
        <v>25</v>
      </c>
      <c r="H105" s="1">
        <v>1279.4000000000001</v>
      </c>
      <c r="I105" s="1" t="s">
        <v>23</v>
      </c>
      <c r="J105" s="1">
        <v>88.8</v>
      </c>
      <c r="K105" s="1" t="s">
        <v>43</v>
      </c>
      <c r="R105" s="1">
        <v>480.72873106820606</v>
      </c>
      <c r="S105" s="1">
        <v>1155.7008000000001</v>
      </c>
      <c r="T105" s="1">
        <v>-29.584716502633967</v>
      </c>
      <c r="U105" s="1">
        <v>11</v>
      </c>
      <c r="V105" s="1" t="s">
        <v>24</v>
      </c>
      <c r="W105" s="1" t="s">
        <v>25</v>
      </c>
      <c r="X105" s="1">
        <v>1279.4000000000001</v>
      </c>
      <c r="Y105" s="1" t="s">
        <v>23</v>
      </c>
      <c r="Z105" s="1">
        <v>79.92</v>
      </c>
      <c r="AA105" s="1" t="s">
        <v>66</v>
      </c>
    </row>
    <row r="106" spans="1:27" x14ac:dyDescent="0.25">
      <c r="A106" s="1">
        <f t="shared" si="3"/>
        <v>102</v>
      </c>
      <c r="B106" s="1">
        <v>548.08173106820607</v>
      </c>
      <c r="C106" s="1">
        <v>962.87999999999988</v>
      </c>
      <c r="D106" s="1">
        <v>-29.924716502634112</v>
      </c>
      <c r="E106" s="1">
        <v>12</v>
      </c>
      <c r="F106" s="1" t="s">
        <v>26</v>
      </c>
      <c r="G106" s="1" t="s">
        <v>19</v>
      </c>
      <c r="H106" s="1">
        <v>1279.4000000000001</v>
      </c>
      <c r="I106" s="1" t="s">
        <v>23</v>
      </c>
      <c r="J106" s="1">
        <v>76.099999999999994</v>
      </c>
      <c r="K106" s="1" t="s">
        <v>43</v>
      </c>
      <c r="R106" s="1">
        <v>480.72873106820606</v>
      </c>
      <c r="S106" s="1">
        <v>1155.4559999999999</v>
      </c>
      <c r="T106" s="1">
        <v>-29.924716502634112</v>
      </c>
      <c r="U106" s="1">
        <v>12</v>
      </c>
      <c r="V106" s="1" t="s">
        <v>26</v>
      </c>
      <c r="W106" s="1" t="s">
        <v>19</v>
      </c>
      <c r="X106" s="1">
        <v>1279.4000000000001</v>
      </c>
      <c r="Y106" s="1" t="s">
        <v>23</v>
      </c>
      <c r="Z106" s="1">
        <v>68.489999999999995</v>
      </c>
      <c r="AA106" s="1" t="s">
        <v>66</v>
      </c>
    </row>
    <row r="107" spans="1:27" x14ac:dyDescent="0.25">
      <c r="A107" s="1">
        <f t="shared" si="3"/>
        <v>103</v>
      </c>
      <c r="B107" s="1">
        <v>552.479458152794</v>
      </c>
      <c r="C107" s="1" t="s">
        <v>47</v>
      </c>
      <c r="D107" s="1">
        <v>-1645.0518543231913</v>
      </c>
      <c r="F107" s="1" t="s">
        <v>22</v>
      </c>
      <c r="G107" s="1" t="s">
        <v>15</v>
      </c>
      <c r="H107" s="1">
        <v>1287.0999999999999</v>
      </c>
      <c r="I107" s="1" t="s">
        <v>23</v>
      </c>
      <c r="J107" s="1">
        <v>76.599999999999994</v>
      </c>
      <c r="K107" s="1" t="s">
        <v>43</v>
      </c>
      <c r="R107" s="1">
        <v>485.12645815279399</v>
      </c>
      <c r="S107" s="1" t="e">
        <v>#VALUE!</v>
      </c>
      <c r="T107" s="1">
        <v>-1645.0518543231913</v>
      </c>
      <c r="V107" s="1" t="s">
        <v>22</v>
      </c>
      <c r="W107" s="1" t="s">
        <v>15</v>
      </c>
      <c r="X107" s="1">
        <v>1287.0999999999999</v>
      </c>
      <c r="Y107" s="1" t="s">
        <v>23</v>
      </c>
      <c r="Z107" s="1">
        <v>68.94</v>
      </c>
      <c r="AA107" s="1" t="s">
        <v>66</v>
      </c>
    </row>
    <row r="108" spans="1:27" x14ac:dyDescent="0.25">
      <c r="A108" s="1">
        <f t="shared" si="3"/>
        <v>104</v>
      </c>
      <c r="B108" s="1">
        <v>511.28539149333164</v>
      </c>
      <c r="C108" s="1">
        <v>908.80200000000002</v>
      </c>
      <c r="D108" s="1">
        <v>-33.646246224093659</v>
      </c>
      <c r="E108" s="1">
        <v>72.599999999999994</v>
      </c>
      <c r="F108" s="1" t="s">
        <v>24</v>
      </c>
      <c r="G108" s="1" t="s">
        <v>25</v>
      </c>
      <c r="H108" s="1">
        <v>1215</v>
      </c>
      <c r="I108" s="1" t="s">
        <v>23</v>
      </c>
      <c r="J108" s="1">
        <v>78.27</v>
      </c>
      <c r="K108" s="1" t="s">
        <v>43</v>
      </c>
      <c r="R108" s="1">
        <v>443.93239149333164</v>
      </c>
      <c r="S108" s="1">
        <v>1090.5624</v>
      </c>
      <c r="T108" s="1">
        <v>-33.646246224093659</v>
      </c>
      <c r="U108" s="1">
        <v>72.599999999999994</v>
      </c>
      <c r="V108" s="1" t="s">
        <v>24</v>
      </c>
      <c r="W108" s="1" t="s">
        <v>25</v>
      </c>
      <c r="X108" s="1">
        <v>1215</v>
      </c>
      <c r="Y108" s="1" t="s">
        <v>23</v>
      </c>
      <c r="Z108" s="1">
        <v>70.442999999999998</v>
      </c>
      <c r="AA108" s="1" t="s">
        <v>66</v>
      </c>
    </row>
    <row r="109" spans="1:27" x14ac:dyDescent="0.25">
      <c r="A109" s="1">
        <f t="shared" si="3"/>
        <v>105</v>
      </c>
      <c r="B109" s="1">
        <v>511.28539149333164</v>
      </c>
      <c r="C109" s="1">
        <v>907.8359999999999</v>
      </c>
      <c r="D109" s="1">
        <v>-35.256246224093786</v>
      </c>
      <c r="E109" s="1">
        <v>253.9</v>
      </c>
      <c r="F109" s="1" t="s">
        <v>26</v>
      </c>
      <c r="G109" s="1" t="s">
        <v>19</v>
      </c>
      <c r="H109" s="1">
        <v>1215</v>
      </c>
      <c r="I109" s="1" t="s">
        <v>23</v>
      </c>
      <c r="J109" s="1">
        <v>78.23</v>
      </c>
      <c r="K109" s="1" t="s">
        <v>43</v>
      </c>
      <c r="R109" s="1">
        <v>443.93239149333164</v>
      </c>
      <c r="S109" s="1">
        <v>1089.4031999999997</v>
      </c>
      <c r="T109" s="1">
        <v>-35.256246224093786</v>
      </c>
      <c r="U109" s="1">
        <v>253.9</v>
      </c>
      <c r="V109" s="1" t="s">
        <v>26</v>
      </c>
      <c r="W109" s="1" t="s">
        <v>19</v>
      </c>
      <c r="X109" s="1">
        <v>1215</v>
      </c>
      <c r="Y109" s="1" t="s">
        <v>23</v>
      </c>
      <c r="Z109" s="1">
        <v>70.407000000000011</v>
      </c>
      <c r="AA109" s="1" t="s">
        <v>66</v>
      </c>
    </row>
    <row r="110" spans="1:27" x14ac:dyDescent="0.25">
      <c r="A110" s="1">
        <f t="shared" si="3"/>
        <v>106</v>
      </c>
      <c r="B110" s="1">
        <v>468.50069511810011</v>
      </c>
      <c r="C110" s="1">
        <v>850.91399999999999</v>
      </c>
      <c r="D110" s="1">
        <v>-29.655378528331369</v>
      </c>
      <c r="E110" s="1">
        <v>312</v>
      </c>
      <c r="F110" s="1" t="s">
        <v>24</v>
      </c>
      <c r="G110" s="1" t="s">
        <v>19</v>
      </c>
      <c r="H110" s="1">
        <v>1140</v>
      </c>
      <c r="I110" s="1" t="s">
        <v>23</v>
      </c>
      <c r="J110" s="1">
        <v>78.33</v>
      </c>
      <c r="K110" s="1" t="s">
        <v>43</v>
      </c>
      <c r="R110" s="1">
        <v>401.1476951181001</v>
      </c>
      <c r="S110" s="1">
        <v>1021.0967999999999</v>
      </c>
      <c r="T110" s="1">
        <v>-29.655378528331369</v>
      </c>
      <c r="U110" s="1">
        <v>312</v>
      </c>
      <c r="V110" s="1" t="s">
        <v>24</v>
      </c>
      <c r="W110" s="1" t="s">
        <v>19</v>
      </c>
      <c r="X110" s="1">
        <v>1140</v>
      </c>
      <c r="Y110" s="1" t="s">
        <v>23</v>
      </c>
      <c r="Z110" s="1">
        <v>70.497</v>
      </c>
      <c r="AA110" s="1" t="s">
        <v>66</v>
      </c>
    </row>
    <row r="111" spans="1:27" x14ac:dyDescent="0.25">
      <c r="A111" s="1">
        <f t="shared" si="3"/>
        <v>107</v>
      </c>
      <c r="B111" s="1">
        <v>452.89871989788679</v>
      </c>
      <c r="C111" s="1">
        <v>833.45399999999995</v>
      </c>
      <c r="D111" s="1">
        <v>-22.117418674768317</v>
      </c>
      <c r="E111" s="1">
        <v>39.700000000000003</v>
      </c>
      <c r="F111" s="1" t="s">
        <v>24</v>
      </c>
      <c r="G111" s="1" t="s">
        <v>19</v>
      </c>
      <c r="H111" s="1">
        <v>1112.5999999999999</v>
      </c>
      <c r="I111" s="1" t="s">
        <v>23</v>
      </c>
      <c r="J111" s="1">
        <v>78.39</v>
      </c>
      <c r="K111" s="1" t="s">
        <v>43</v>
      </c>
      <c r="R111" s="1">
        <v>385.54571989788678</v>
      </c>
      <c r="S111" s="1">
        <v>1000.1447999999999</v>
      </c>
      <c r="T111" s="1">
        <v>-22.117418674768317</v>
      </c>
      <c r="U111" s="1">
        <v>39.700000000000003</v>
      </c>
      <c r="V111" s="1" t="s">
        <v>24</v>
      </c>
      <c r="W111" s="1" t="s">
        <v>19</v>
      </c>
      <c r="X111" s="1">
        <v>1112.5999999999999</v>
      </c>
      <c r="Y111" s="1" t="s">
        <v>23</v>
      </c>
      <c r="Z111" s="1">
        <v>70.551000000000002</v>
      </c>
      <c r="AA111" s="1" t="s">
        <v>66</v>
      </c>
    </row>
    <row r="112" spans="1:27" x14ac:dyDescent="0.25">
      <c r="A112" s="1">
        <f t="shared" si="3"/>
        <v>108</v>
      </c>
      <c r="B112" s="1">
        <v>452.89871989788679</v>
      </c>
      <c r="C112" s="1" t="s">
        <v>47</v>
      </c>
      <c r="D112" s="1">
        <v>-1411.2074186747682</v>
      </c>
      <c r="F112" s="1" t="s">
        <v>28</v>
      </c>
      <c r="G112" s="1" t="s">
        <v>17</v>
      </c>
      <c r="H112" s="1">
        <v>1112.5999999999999</v>
      </c>
      <c r="I112" s="1" t="s">
        <v>23</v>
      </c>
      <c r="J112" s="1">
        <v>78.88</v>
      </c>
      <c r="K112" s="1" t="s">
        <v>43</v>
      </c>
      <c r="R112" s="1">
        <v>385.54571989788678</v>
      </c>
      <c r="S112" s="1" t="e">
        <v>#VALUE!</v>
      </c>
      <c r="T112" s="1">
        <v>-1411.2074186747682</v>
      </c>
      <c r="V112" s="1" t="s">
        <v>28</v>
      </c>
      <c r="W112" s="1" t="s">
        <v>17</v>
      </c>
      <c r="X112" s="1">
        <v>1112.5999999999999</v>
      </c>
      <c r="Y112" s="1" t="s">
        <v>23</v>
      </c>
      <c r="Z112" s="1">
        <v>70.992000000000004</v>
      </c>
      <c r="AA112" s="1" t="s">
        <v>66</v>
      </c>
    </row>
    <row r="113" spans="1:27" x14ac:dyDescent="0.25">
      <c r="A113" s="1">
        <f t="shared" si="3"/>
        <v>109</v>
      </c>
      <c r="B113" s="1">
        <v>402.61407103540688</v>
      </c>
      <c r="C113" s="1">
        <v>790.87800000000004</v>
      </c>
      <c r="D113" s="1">
        <v>25.005511228056605</v>
      </c>
      <c r="E113" s="1">
        <v>11.4</v>
      </c>
      <c r="F113" s="1" t="s">
        <v>24</v>
      </c>
      <c r="G113" s="1" t="s">
        <v>19</v>
      </c>
      <c r="H113" s="1">
        <v>1024.4000000000001</v>
      </c>
      <c r="I113" s="1" t="s">
        <v>23</v>
      </c>
      <c r="J113" s="1">
        <v>79.25</v>
      </c>
      <c r="K113" s="1" t="s">
        <v>43</v>
      </c>
      <c r="R113" s="1">
        <v>335.26107103540687</v>
      </c>
      <c r="S113" s="1">
        <v>949.05359999999996</v>
      </c>
      <c r="T113" s="1">
        <v>25.005511228056605</v>
      </c>
      <c r="U113" s="1">
        <v>11.4</v>
      </c>
      <c r="V113" s="1" t="s">
        <v>24</v>
      </c>
      <c r="W113" s="1" t="s">
        <v>19</v>
      </c>
      <c r="X113" s="1">
        <v>1024.4000000000001</v>
      </c>
      <c r="Y113" s="1" t="s">
        <v>23</v>
      </c>
      <c r="Z113" s="1">
        <v>71.325000000000003</v>
      </c>
      <c r="AA113" s="1" t="s">
        <v>66</v>
      </c>
    </row>
    <row r="114" spans="1:27" x14ac:dyDescent="0.25">
      <c r="A114" s="1">
        <f t="shared" si="3"/>
        <v>110</v>
      </c>
      <c r="B114" s="1">
        <v>402.61407103540688</v>
      </c>
      <c r="C114" s="1">
        <v>790.87199999999996</v>
      </c>
      <c r="D114" s="1">
        <v>24.995511228056387</v>
      </c>
      <c r="E114" s="1">
        <v>10.9</v>
      </c>
      <c r="F114" s="1" t="s">
        <v>26</v>
      </c>
      <c r="G114" s="1" t="s">
        <v>25</v>
      </c>
      <c r="H114" s="1">
        <v>1024.4000000000001</v>
      </c>
      <c r="I114" s="1" t="s">
        <v>23</v>
      </c>
      <c r="J114" s="1">
        <v>0</v>
      </c>
      <c r="K114" s="1" t="s">
        <v>43</v>
      </c>
      <c r="R114" s="1">
        <v>335.26107103540687</v>
      </c>
      <c r="S114" s="1">
        <v>949.04639999999995</v>
      </c>
      <c r="T114" s="1">
        <v>24.995511228056387</v>
      </c>
      <c r="U114" s="1">
        <v>10.9</v>
      </c>
      <c r="V114" s="1" t="s">
        <v>26</v>
      </c>
      <c r="W114" s="1" t="s">
        <v>25</v>
      </c>
      <c r="X114" s="1">
        <v>1024.4000000000001</v>
      </c>
      <c r="Y114" s="1" t="s">
        <v>23</v>
      </c>
      <c r="Z114" s="1">
        <v>0</v>
      </c>
      <c r="AA114" s="1" t="s">
        <v>66</v>
      </c>
    </row>
    <row r="115" spans="1:27" x14ac:dyDescent="0.25">
      <c r="A115" s="1">
        <f t="shared" si="3"/>
        <v>111</v>
      </c>
      <c r="B115" s="1">
        <v>400.67376459991675</v>
      </c>
      <c r="C115" s="1">
        <v>775.51199999999994</v>
      </c>
      <c r="D115" s="1">
        <v>3.9519131120306952</v>
      </c>
      <c r="E115" s="1">
        <v>14.6</v>
      </c>
      <c r="F115" s="1" t="s">
        <v>24</v>
      </c>
      <c r="G115" s="1" t="s">
        <v>19</v>
      </c>
      <c r="H115" s="1">
        <v>1021</v>
      </c>
      <c r="I115" s="1" t="s">
        <v>23</v>
      </c>
      <c r="J115" s="1">
        <v>80.33</v>
      </c>
      <c r="K115" s="1" t="s">
        <v>43</v>
      </c>
      <c r="R115" s="1">
        <v>333.32076459991674</v>
      </c>
      <c r="S115" s="1">
        <v>930.61439999999993</v>
      </c>
      <c r="T115" s="1">
        <v>3.9519131120306952</v>
      </c>
      <c r="U115" s="1">
        <v>14.6</v>
      </c>
      <c r="V115" s="1" t="s">
        <v>24</v>
      </c>
      <c r="W115" s="1" t="s">
        <v>19</v>
      </c>
      <c r="X115" s="1">
        <v>1021</v>
      </c>
      <c r="Y115" s="1" t="s">
        <v>23</v>
      </c>
      <c r="Z115" s="1">
        <v>72.296999999999997</v>
      </c>
      <c r="AA115" s="1" t="s">
        <v>66</v>
      </c>
    </row>
    <row r="116" spans="1:27" x14ac:dyDescent="0.25">
      <c r="A116" s="1">
        <f t="shared" si="3"/>
        <v>112</v>
      </c>
      <c r="B116" s="1">
        <v>399.07551867515525</v>
      </c>
      <c r="C116" s="1">
        <v>775.596</v>
      </c>
      <c r="D116" s="1">
        <v>7.8450577748723731</v>
      </c>
      <c r="E116" s="1">
        <v>13.4</v>
      </c>
      <c r="F116" s="1" t="s">
        <v>24</v>
      </c>
      <c r="G116" s="1" t="s">
        <v>19</v>
      </c>
      <c r="H116" s="1">
        <v>1018.2</v>
      </c>
      <c r="I116" s="1" t="s">
        <v>23</v>
      </c>
      <c r="J116" s="1">
        <v>80.34</v>
      </c>
      <c r="K116" s="1" t="s">
        <v>43</v>
      </c>
      <c r="R116" s="1">
        <v>331.72251867515524</v>
      </c>
      <c r="S116" s="1">
        <v>930.71519999999998</v>
      </c>
      <c r="T116" s="1">
        <v>7.8450577748723731</v>
      </c>
      <c r="U116" s="1">
        <v>13.4</v>
      </c>
      <c r="V116" s="1" t="s">
        <v>24</v>
      </c>
      <c r="W116" s="1" t="s">
        <v>19</v>
      </c>
      <c r="X116" s="1">
        <v>1018.2</v>
      </c>
      <c r="Y116" s="1" t="s">
        <v>23</v>
      </c>
      <c r="Z116" s="1">
        <v>72.305999999999997</v>
      </c>
      <c r="AA116" s="1" t="s">
        <v>66</v>
      </c>
    </row>
    <row r="117" spans="1:27" x14ac:dyDescent="0.25">
      <c r="A117" s="1">
        <f t="shared" si="3"/>
        <v>113</v>
      </c>
      <c r="B117" s="1">
        <v>399.07551867515525</v>
      </c>
      <c r="C117" s="1" t="s">
        <v>47</v>
      </c>
      <c r="D117" s="1">
        <v>-1284.8149422251277</v>
      </c>
      <c r="F117" s="1" t="s">
        <v>28</v>
      </c>
      <c r="G117" s="1" t="s">
        <v>17</v>
      </c>
      <c r="H117" s="1">
        <v>1018.2</v>
      </c>
      <c r="I117" s="1" t="s">
        <v>23</v>
      </c>
      <c r="J117" s="1">
        <v>80.33</v>
      </c>
      <c r="K117" s="1" t="s">
        <v>43</v>
      </c>
      <c r="R117" s="1">
        <v>331.72251867515524</v>
      </c>
      <c r="S117" s="1" t="e">
        <v>#VALUE!</v>
      </c>
      <c r="T117" s="1">
        <v>-1284.8149422251277</v>
      </c>
      <c r="V117" s="1" t="s">
        <v>28</v>
      </c>
      <c r="W117" s="1" t="s">
        <v>17</v>
      </c>
      <c r="X117" s="1">
        <v>1018.2</v>
      </c>
      <c r="Y117" s="1" t="s">
        <v>23</v>
      </c>
      <c r="Z117" s="1">
        <v>72.296999999999997</v>
      </c>
      <c r="AA117" s="1" t="s">
        <v>66</v>
      </c>
    </row>
    <row r="118" spans="1:27" x14ac:dyDescent="0.25">
      <c r="A118" s="1">
        <f t="shared" si="3"/>
        <v>114</v>
      </c>
      <c r="B118" s="1">
        <v>332.7293363557028</v>
      </c>
      <c r="C118" s="1" t="s">
        <v>47</v>
      </c>
      <c r="D118" s="1">
        <v>-1129.014876531648</v>
      </c>
      <c r="F118" s="1" t="s">
        <v>22</v>
      </c>
      <c r="G118" s="1" t="s">
        <v>15</v>
      </c>
      <c r="H118" s="1">
        <v>902</v>
      </c>
      <c r="I118" s="1" t="s">
        <v>23</v>
      </c>
      <c r="J118" s="1">
        <v>80.84</v>
      </c>
      <c r="K118" s="1" t="s">
        <v>43</v>
      </c>
      <c r="R118" s="1">
        <v>265.37633635570279</v>
      </c>
      <c r="S118" s="1" t="e">
        <v>#VALUE!</v>
      </c>
      <c r="T118" s="1">
        <v>-1129.014876531648</v>
      </c>
      <c r="V118" s="1" t="s">
        <v>22</v>
      </c>
      <c r="W118" s="1" t="s">
        <v>15</v>
      </c>
      <c r="X118" s="1">
        <v>902</v>
      </c>
      <c r="Y118" s="1" t="s">
        <v>23</v>
      </c>
      <c r="Z118" s="1">
        <v>72.756</v>
      </c>
      <c r="AA118" s="1" t="s">
        <v>66</v>
      </c>
    </row>
    <row r="119" spans="1:27" x14ac:dyDescent="0.25">
      <c r="A119" s="1">
        <f t="shared" si="3"/>
        <v>115</v>
      </c>
      <c r="B119" s="1">
        <v>256.30424118708959</v>
      </c>
      <c r="C119" s="1" t="s">
        <v>47</v>
      </c>
      <c r="D119" s="1">
        <v>-949.54660222207599</v>
      </c>
      <c r="F119" s="1" t="s">
        <v>22</v>
      </c>
      <c r="G119" s="1" t="s">
        <v>15</v>
      </c>
      <c r="H119" s="1">
        <v>768</v>
      </c>
      <c r="I119" s="1" t="s">
        <v>23</v>
      </c>
      <c r="J119" s="1">
        <v>81.87</v>
      </c>
      <c r="K119" s="1" t="s">
        <v>43</v>
      </c>
      <c r="R119" s="1">
        <v>188.95124118708958</v>
      </c>
      <c r="S119" s="1" t="e">
        <v>#VALUE!</v>
      </c>
      <c r="T119" s="1">
        <v>-949.54660222207599</v>
      </c>
      <c r="V119" s="1" t="s">
        <v>22</v>
      </c>
      <c r="W119" s="1" t="s">
        <v>15</v>
      </c>
      <c r="X119" s="1">
        <v>768</v>
      </c>
      <c r="Y119" s="1" t="s">
        <v>23</v>
      </c>
      <c r="Z119" s="1">
        <v>73.683000000000007</v>
      </c>
      <c r="AA119" s="1" t="s">
        <v>66</v>
      </c>
    </row>
    <row r="120" spans="1:27" x14ac:dyDescent="0.25">
      <c r="A120" s="1">
        <f t="shared" si="3"/>
        <v>116</v>
      </c>
      <c r="B120" s="1">
        <v>256.59071346283804</v>
      </c>
      <c r="C120" s="1">
        <v>578.39400000000001</v>
      </c>
      <c r="D120" s="1">
        <v>13.770677844076715</v>
      </c>
      <c r="E120" s="1">
        <v>15.5</v>
      </c>
      <c r="F120" s="1" t="s">
        <v>24</v>
      </c>
      <c r="G120" s="1" t="s">
        <v>19</v>
      </c>
      <c r="H120" s="1">
        <v>768.5</v>
      </c>
      <c r="I120" s="1" t="s">
        <v>23</v>
      </c>
      <c r="J120" s="1">
        <v>81.88</v>
      </c>
      <c r="K120" s="1" t="s">
        <v>43</v>
      </c>
      <c r="R120" s="1">
        <v>189.23771346283803</v>
      </c>
      <c r="S120" s="1">
        <v>694.07280000000003</v>
      </c>
      <c r="T120" s="1">
        <v>13.770677844076715</v>
      </c>
      <c r="U120" s="1">
        <v>15.5</v>
      </c>
      <c r="V120" s="1" t="s">
        <v>24</v>
      </c>
      <c r="W120" s="1" t="s">
        <v>19</v>
      </c>
      <c r="X120" s="1">
        <v>768.5</v>
      </c>
      <c r="Y120" s="1" t="s">
        <v>23</v>
      </c>
      <c r="Z120" s="1">
        <v>73.691999999999993</v>
      </c>
      <c r="AA120" s="1" t="s">
        <v>66</v>
      </c>
    </row>
    <row r="121" spans="1:27" x14ac:dyDescent="0.25">
      <c r="A121" s="1">
        <f t="shared" si="3"/>
        <v>117</v>
      </c>
      <c r="B121" s="1">
        <v>242.2569285114796</v>
      </c>
      <c r="C121" s="1" t="s">
        <v>47</v>
      </c>
      <c r="D121" s="1">
        <v>-916.55944062264803</v>
      </c>
      <c r="F121" s="1" t="s">
        <v>29</v>
      </c>
      <c r="G121" s="1" t="s">
        <v>30</v>
      </c>
      <c r="H121" s="1">
        <v>743.5</v>
      </c>
      <c r="I121" s="1" t="s">
        <v>23</v>
      </c>
      <c r="J121" s="1">
        <v>81.88</v>
      </c>
      <c r="K121" s="1" t="s">
        <v>43</v>
      </c>
      <c r="R121" s="1">
        <v>174.90392851147959</v>
      </c>
      <c r="S121" s="1" t="e">
        <v>#VALUE!</v>
      </c>
      <c r="T121" s="1">
        <v>-916.55944062264803</v>
      </c>
      <c r="V121" s="1" t="s">
        <v>29</v>
      </c>
      <c r="W121" s="1" t="s">
        <v>30</v>
      </c>
      <c r="X121" s="1">
        <v>743.5</v>
      </c>
      <c r="Y121" s="1" t="s">
        <v>23</v>
      </c>
      <c r="Z121" s="1">
        <v>73.691999999999993</v>
      </c>
      <c r="AA121" s="1" t="s">
        <v>66</v>
      </c>
    </row>
    <row r="122" spans="1:27" x14ac:dyDescent="0.25">
      <c r="A122" s="1">
        <f t="shared" si="3"/>
        <v>118</v>
      </c>
      <c r="B122" s="1">
        <v>209.38603380478241</v>
      </c>
      <c r="C122" s="1" t="s">
        <v>47</v>
      </c>
      <c r="D122" s="1">
        <v>-839.36905263546555</v>
      </c>
      <c r="F122" s="1" t="s">
        <v>22</v>
      </c>
      <c r="G122" s="1" t="s">
        <v>15</v>
      </c>
      <c r="H122" s="1">
        <v>686.5</v>
      </c>
      <c r="I122" s="1" t="s">
        <v>23</v>
      </c>
      <c r="J122" s="1">
        <v>81.87</v>
      </c>
      <c r="K122" s="1" t="s">
        <v>43</v>
      </c>
      <c r="R122" s="1">
        <v>142.03303380478241</v>
      </c>
      <c r="S122" s="1" t="e">
        <v>#VALUE!</v>
      </c>
      <c r="T122" s="1">
        <v>-839.36905263546555</v>
      </c>
      <c r="V122" s="1" t="s">
        <v>22</v>
      </c>
      <c r="W122" s="1" t="s">
        <v>15</v>
      </c>
      <c r="X122" s="1">
        <v>686.5</v>
      </c>
      <c r="Y122" s="1" t="s">
        <v>23</v>
      </c>
      <c r="Z122" s="1">
        <v>73.683000000000007</v>
      </c>
      <c r="AA122" s="1" t="s">
        <v>66</v>
      </c>
    </row>
    <row r="123" spans="1:27" x14ac:dyDescent="0.25">
      <c r="A123" s="1">
        <f t="shared" si="3"/>
        <v>119</v>
      </c>
      <c r="B123" s="1">
        <v>188.65738194688518</v>
      </c>
      <c r="C123" s="1" t="s">
        <v>47</v>
      </c>
      <c r="D123" s="1">
        <v>-790.69217013380626</v>
      </c>
      <c r="F123" s="1" t="s">
        <v>29</v>
      </c>
      <c r="G123" s="1" t="s">
        <v>30</v>
      </c>
      <c r="H123" s="1">
        <v>651</v>
      </c>
      <c r="I123" s="1" t="s">
        <v>23</v>
      </c>
      <c r="J123" s="1">
        <v>81.98</v>
      </c>
      <c r="K123" s="1" t="s">
        <v>43</v>
      </c>
      <c r="R123" s="1">
        <v>121.30438194688519</v>
      </c>
      <c r="S123" s="1" t="e">
        <v>#VALUE!</v>
      </c>
      <c r="T123" s="1">
        <v>-790.69217013380626</v>
      </c>
      <c r="V123" s="1" t="s">
        <v>29</v>
      </c>
      <c r="W123" s="1" t="s">
        <v>30</v>
      </c>
      <c r="X123" s="1">
        <v>651</v>
      </c>
      <c r="Y123" s="1" t="s">
        <v>23</v>
      </c>
      <c r="Z123" s="1">
        <v>73.782000000000011</v>
      </c>
      <c r="AA123" s="1" t="s">
        <v>66</v>
      </c>
    </row>
    <row r="124" spans="1:27" x14ac:dyDescent="0.25">
      <c r="A124" s="1">
        <f t="shared" si="3"/>
        <v>120</v>
      </c>
      <c r="B124" s="1">
        <v>188.95074869467908</v>
      </c>
      <c r="C124" s="1" t="s">
        <v>47</v>
      </c>
      <c r="D124" s="1">
        <v>-791.38108028629244</v>
      </c>
      <c r="F124" s="1" t="s">
        <v>27</v>
      </c>
      <c r="G124" s="1" t="s">
        <v>17</v>
      </c>
      <c r="H124" s="1">
        <v>651.5</v>
      </c>
      <c r="I124" s="1" t="s">
        <v>23</v>
      </c>
      <c r="J124" s="1">
        <v>82.01</v>
      </c>
      <c r="K124" s="1" t="s">
        <v>43</v>
      </c>
      <c r="R124" s="1">
        <v>121.59774869467908</v>
      </c>
      <c r="S124" s="1" t="e">
        <v>#VALUE!</v>
      </c>
      <c r="T124" s="1">
        <v>-791.38108028629244</v>
      </c>
      <c r="V124" s="1" t="s">
        <v>27</v>
      </c>
      <c r="W124" s="1" t="s">
        <v>17</v>
      </c>
      <c r="X124" s="1">
        <v>651.5</v>
      </c>
      <c r="Y124" s="1" t="s">
        <v>23</v>
      </c>
      <c r="Z124" s="1">
        <v>73.809000000000012</v>
      </c>
      <c r="AA124" s="1" t="s">
        <v>66</v>
      </c>
    </row>
    <row r="125" spans="1:27" x14ac:dyDescent="0.25">
      <c r="A125" s="1">
        <f t="shared" si="3"/>
        <v>121</v>
      </c>
      <c r="B125" s="1">
        <v>188.07052459576505</v>
      </c>
      <c r="C125" s="1" t="s">
        <v>47</v>
      </c>
      <c r="D125" s="1">
        <v>-789.31405898014589</v>
      </c>
      <c r="F125" s="1" t="s">
        <v>27</v>
      </c>
      <c r="G125" s="1" t="s">
        <v>17</v>
      </c>
      <c r="H125" s="1">
        <v>650</v>
      </c>
      <c r="I125" s="1" t="s">
        <v>23</v>
      </c>
      <c r="J125" s="1">
        <v>82.01</v>
      </c>
      <c r="K125" s="1" t="s">
        <v>43</v>
      </c>
      <c r="R125" s="1">
        <v>120.71752459576506</v>
      </c>
      <c r="S125" s="1" t="e">
        <v>#VALUE!</v>
      </c>
      <c r="T125" s="1">
        <v>-789.31405898014589</v>
      </c>
      <c r="V125" s="1" t="s">
        <v>27</v>
      </c>
      <c r="W125" s="1" t="s">
        <v>17</v>
      </c>
      <c r="X125" s="1">
        <v>650</v>
      </c>
      <c r="Y125" s="1" t="s">
        <v>23</v>
      </c>
      <c r="Z125" s="1">
        <v>73.809000000000012</v>
      </c>
      <c r="AA125" s="1" t="s">
        <v>66</v>
      </c>
    </row>
    <row r="126" spans="1:27" x14ac:dyDescent="0.25">
      <c r="A126" s="1">
        <f t="shared" si="3"/>
        <v>122</v>
      </c>
      <c r="B126" s="1">
        <v>180.014350355077</v>
      </c>
      <c r="C126" s="1">
        <v>464.4</v>
      </c>
      <c r="D126" s="1">
        <v>3.6041731178796113</v>
      </c>
      <c r="E126" s="1">
        <v>173.9</v>
      </c>
      <c r="F126" s="1" t="s">
        <v>26</v>
      </c>
      <c r="G126" s="1" t="s">
        <v>25</v>
      </c>
      <c r="H126" s="1">
        <v>636.29999999999995</v>
      </c>
      <c r="I126" s="1" t="s">
        <v>23</v>
      </c>
      <c r="J126" s="1">
        <v>82.09</v>
      </c>
      <c r="K126" s="1" t="s">
        <v>43</v>
      </c>
      <c r="R126" s="1">
        <v>112.661350355077</v>
      </c>
      <c r="S126" s="1">
        <v>557.28</v>
      </c>
      <c r="T126" s="1">
        <v>3.6041731178796113</v>
      </c>
      <c r="U126" s="1">
        <v>173.9</v>
      </c>
      <c r="V126" s="1" t="s">
        <v>26</v>
      </c>
      <c r="W126" s="1" t="s">
        <v>25</v>
      </c>
      <c r="X126" s="1">
        <v>636.29999999999995</v>
      </c>
      <c r="Y126" s="1" t="s">
        <v>23</v>
      </c>
      <c r="Z126" s="1">
        <v>73.881</v>
      </c>
      <c r="AA126" s="1" t="s">
        <v>66</v>
      </c>
    </row>
    <row r="127" spans="1:27" x14ac:dyDescent="0.25">
      <c r="A127" s="1">
        <f t="shared" si="3"/>
        <v>123</v>
      </c>
      <c r="B127" s="1">
        <v>177.65678455081397</v>
      </c>
      <c r="C127" s="1" t="s">
        <v>47</v>
      </c>
      <c r="D127" s="1">
        <v>-764.85957906288172</v>
      </c>
      <c r="F127" s="1" t="s">
        <v>22</v>
      </c>
      <c r="G127" s="1" t="s">
        <v>15</v>
      </c>
      <c r="H127" s="1">
        <v>632.29999999999995</v>
      </c>
      <c r="I127" s="1" t="s">
        <v>23</v>
      </c>
      <c r="J127" s="1">
        <v>82.08</v>
      </c>
      <c r="K127" s="1" t="s">
        <v>43</v>
      </c>
      <c r="R127" s="1">
        <v>110.30378455081397</v>
      </c>
      <c r="S127" s="1" t="e">
        <v>#VALUE!</v>
      </c>
      <c r="T127" s="1">
        <v>-764.85957906288172</v>
      </c>
      <c r="V127" s="1" t="s">
        <v>22</v>
      </c>
      <c r="W127" s="1" t="s">
        <v>15</v>
      </c>
      <c r="X127" s="1">
        <v>632.29999999999995</v>
      </c>
      <c r="Y127" s="1" t="s">
        <v>23</v>
      </c>
      <c r="Z127" s="1">
        <v>73.872</v>
      </c>
      <c r="AA127" s="1" t="s">
        <v>66</v>
      </c>
    </row>
    <row r="128" spans="1:27" x14ac:dyDescent="0.25">
      <c r="A128" s="1">
        <f t="shared" si="3"/>
        <v>124</v>
      </c>
      <c r="B128" s="1">
        <v>177.95160807360207</v>
      </c>
      <c r="C128" s="1" t="s">
        <v>47</v>
      </c>
      <c r="D128" s="1">
        <v>-765.55191014528214</v>
      </c>
      <c r="F128" s="1" t="s">
        <v>22</v>
      </c>
      <c r="G128" s="1" t="s">
        <v>15</v>
      </c>
      <c r="H128" s="1">
        <v>632.79999999999995</v>
      </c>
      <c r="I128" s="1" t="s">
        <v>23</v>
      </c>
      <c r="J128" s="1">
        <v>82.3</v>
      </c>
      <c r="K128" s="1" t="s">
        <v>43</v>
      </c>
      <c r="R128" s="1">
        <v>110.59860807360208</v>
      </c>
      <c r="S128" s="1" t="e">
        <v>#VALUE!</v>
      </c>
      <c r="T128" s="1">
        <v>-765.55191014528214</v>
      </c>
      <c r="V128" s="1" t="s">
        <v>22</v>
      </c>
      <c r="W128" s="1" t="s">
        <v>15</v>
      </c>
      <c r="X128" s="1">
        <v>632.79999999999995</v>
      </c>
      <c r="Y128" s="1" t="s">
        <v>23</v>
      </c>
      <c r="Z128" s="1">
        <v>74.069999999999993</v>
      </c>
      <c r="AA128" s="1" t="s">
        <v>66</v>
      </c>
    </row>
    <row r="129" spans="1:27" x14ac:dyDescent="0.25">
      <c r="A129" s="1">
        <f t="shared" si="3"/>
        <v>125</v>
      </c>
      <c r="B129" s="1">
        <v>172.81655827545492</v>
      </c>
      <c r="C129" s="1">
        <v>453.49200000000002</v>
      </c>
      <c r="D129" s="1">
        <v>2.3266751104371224</v>
      </c>
      <c r="E129" s="1">
        <v>14.5</v>
      </c>
      <c r="F129" s="1" t="s">
        <v>24</v>
      </c>
      <c r="G129" s="1" t="s">
        <v>19</v>
      </c>
      <c r="H129" s="1">
        <v>624.1</v>
      </c>
      <c r="I129" s="1" t="s">
        <v>23</v>
      </c>
      <c r="J129" s="1">
        <v>82.36</v>
      </c>
      <c r="K129" s="1" t="s">
        <v>43</v>
      </c>
      <c r="R129" s="1">
        <v>105.46355827545493</v>
      </c>
      <c r="S129" s="1">
        <v>544.19039999999995</v>
      </c>
      <c r="T129" s="1">
        <v>2.3266751104371224</v>
      </c>
      <c r="U129" s="1">
        <v>14.5</v>
      </c>
      <c r="V129" s="1" t="s">
        <v>24</v>
      </c>
      <c r="W129" s="1" t="s">
        <v>19</v>
      </c>
      <c r="X129" s="1">
        <v>624.1</v>
      </c>
      <c r="Y129" s="1" t="s">
        <v>23</v>
      </c>
      <c r="Z129" s="1">
        <v>74.123999999999995</v>
      </c>
      <c r="AA129" s="1" t="s">
        <v>66</v>
      </c>
    </row>
    <row r="130" spans="1:27" x14ac:dyDescent="0.25">
      <c r="A130" s="1">
        <f t="shared" si="3"/>
        <v>126</v>
      </c>
      <c r="B130" s="1">
        <v>180.54447779041408</v>
      </c>
      <c r="C130" s="1">
        <v>465.27</v>
      </c>
      <c r="D130" s="1">
        <v>3.8092802489312589</v>
      </c>
      <c r="E130" s="1">
        <v>14.2</v>
      </c>
      <c r="F130" s="1" t="s">
        <v>24</v>
      </c>
      <c r="G130" s="1" t="s">
        <v>19</v>
      </c>
      <c r="H130" s="1">
        <v>637.20000000000005</v>
      </c>
      <c r="I130" s="1" t="s">
        <v>23</v>
      </c>
      <c r="J130" s="1">
        <v>82.4</v>
      </c>
      <c r="K130" s="1" t="s">
        <v>43</v>
      </c>
      <c r="R130" s="1">
        <v>113.19147779041408</v>
      </c>
      <c r="S130" s="1">
        <v>558.32399999999996</v>
      </c>
      <c r="T130" s="1">
        <v>3.8092802489312589</v>
      </c>
      <c r="U130" s="1">
        <v>14.2</v>
      </c>
      <c r="V130" s="1" t="s">
        <v>24</v>
      </c>
      <c r="W130" s="1" t="s">
        <v>19</v>
      </c>
      <c r="X130" s="1">
        <v>637.20000000000005</v>
      </c>
      <c r="Y130" s="1" t="s">
        <v>23</v>
      </c>
      <c r="Z130" s="1">
        <v>74.160000000000011</v>
      </c>
      <c r="AA130" s="1" t="s">
        <v>66</v>
      </c>
    </row>
    <row r="131" spans="1:27" x14ac:dyDescent="0.25">
      <c r="A131" s="1">
        <f t="shared" si="3"/>
        <v>127</v>
      </c>
      <c r="B131" s="1">
        <v>180.72116014456222</v>
      </c>
      <c r="C131" s="1">
        <v>465.62999999999994</v>
      </c>
      <c r="D131" s="1">
        <v>3.9943788722308113</v>
      </c>
      <c r="E131" s="1">
        <v>15.3</v>
      </c>
      <c r="F131" s="1" t="s">
        <v>24</v>
      </c>
      <c r="G131" s="1" t="s">
        <v>19</v>
      </c>
      <c r="H131" s="1">
        <v>637.5</v>
      </c>
      <c r="I131" s="1" t="s">
        <v>23</v>
      </c>
      <c r="J131" s="1">
        <v>82.58</v>
      </c>
      <c r="K131" s="1" t="s">
        <v>43</v>
      </c>
      <c r="R131" s="1">
        <v>113.36816014456222</v>
      </c>
      <c r="S131" s="1">
        <v>558.75599999999986</v>
      </c>
      <c r="T131" s="1">
        <v>3.9943788722308113</v>
      </c>
      <c r="U131" s="1">
        <v>15.3</v>
      </c>
      <c r="V131" s="1" t="s">
        <v>24</v>
      </c>
      <c r="W131" s="1" t="s">
        <v>19</v>
      </c>
      <c r="X131" s="1">
        <v>637.5</v>
      </c>
      <c r="Y131" s="1" t="s">
        <v>23</v>
      </c>
      <c r="Z131" s="1">
        <v>74.322000000000003</v>
      </c>
      <c r="AA131" s="1" t="s">
        <v>66</v>
      </c>
    </row>
    <row r="132" spans="1:27" x14ac:dyDescent="0.25">
      <c r="A132" s="1">
        <f t="shared" si="3"/>
        <v>128</v>
      </c>
      <c r="B132" s="1">
        <v>180.36778202522717</v>
      </c>
      <c r="C132" s="1">
        <v>464.97</v>
      </c>
      <c r="D132" s="1">
        <v>3.724213118637806</v>
      </c>
      <c r="E132" s="1">
        <v>1479</v>
      </c>
      <c r="F132" s="1" t="s">
        <v>31</v>
      </c>
      <c r="G132" s="1" t="s">
        <v>32</v>
      </c>
      <c r="H132" s="1">
        <v>636.9</v>
      </c>
      <c r="I132" s="1" t="s">
        <v>23</v>
      </c>
      <c r="J132" s="1">
        <v>67</v>
      </c>
      <c r="K132" s="1" t="s">
        <v>43</v>
      </c>
      <c r="R132" s="1">
        <v>113.01478202522718</v>
      </c>
      <c r="S132" s="1">
        <v>557.96400000000006</v>
      </c>
      <c r="T132" s="1">
        <v>3.724213118637806</v>
      </c>
      <c r="U132" s="1">
        <v>1479</v>
      </c>
      <c r="V132" s="1" t="s">
        <v>31</v>
      </c>
      <c r="W132" s="1" t="s">
        <v>32</v>
      </c>
      <c r="X132" s="1">
        <v>636.9</v>
      </c>
      <c r="Y132" s="1" t="s">
        <v>23</v>
      </c>
      <c r="Z132" s="1">
        <v>60.3</v>
      </c>
      <c r="AA132" s="1" t="s">
        <v>66</v>
      </c>
    </row>
    <row r="133" spans="1:27" x14ac:dyDescent="0.25">
      <c r="A133" s="1">
        <f t="shared" si="3"/>
        <v>129</v>
      </c>
      <c r="B133" s="1">
        <v>164.47384956154696</v>
      </c>
      <c r="C133" s="1">
        <v>440.84399999999999</v>
      </c>
      <c r="E133" s="1">
        <v>547.4</v>
      </c>
      <c r="F133" s="1" t="s">
        <v>28</v>
      </c>
      <c r="G133" s="1" t="s">
        <v>17</v>
      </c>
      <c r="H133" s="1">
        <v>610</v>
      </c>
      <c r="I133" s="1" t="s">
        <v>23</v>
      </c>
      <c r="J133" s="1">
        <v>67.3</v>
      </c>
      <c r="K133" s="1" t="s">
        <v>43</v>
      </c>
      <c r="R133" s="1">
        <v>97.120849561546962</v>
      </c>
      <c r="S133" s="1">
        <v>529.01279999999997</v>
      </c>
      <c r="U133" s="1">
        <v>547.4</v>
      </c>
      <c r="V133" s="1" t="s">
        <v>28</v>
      </c>
      <c r="W133" s="1" t="s">
        <v>17</v>
      </c>
      <c r="X133" s="1">
        <v>610</v>
      </c>
      <c r="Y133" s="1" t="s">
        <v>23</v>
      </c>
      <c r="Z133" s="1">
        <v>60.57</v>
      </c>
      <c r="AA133" s="1" t="s">
        <v>66</v>
      </c>
    </row>
    <row r="134" spans="1:27" x14ac:dyDescent="0.25">
      <c r="A134" s="1">
        <f t="shared" ref="A134:A197" si="4">1+A133</f>
        <v>130</v>
      </c>
      <c r="B134" s="1">
        <v>152.90292424026225</v>
      </c>
      <c r="C134" s="1">
        <v>425.59200000000004</v>
      </c>
      <c r="D134" s="1">
        <v>2.5896595417096933</v>
      </c>
      <c r="E134" s="1">
        <v>42</v>
      </c>
      <c r="F134" s="1" t="s">
        <v>26</v>
      </c>
      <c r="G134" s="1" t="s">
        <v>25</v>
      </c>
      <c r="H134" s="1">
        <v>590.5</v>
      </c>
      <c r="I134" s="1" t="s">
        <v>23</v>
      </c>
      <c r="J134" s="1">
        <v>66.599999999999994</v>
      </c>
      <c r="K134" s="1" t="s">
        <v>43</v>
      </c>
      <c r="R134" s="1">
        <v>85.549924240262257</v>
      </c>
      <c r="S134" s="1">
        <v>510.71040000000005</v>
      </c>
      <c r="T134" s="1">
        <v>2.5896595417096933</v>
      </c>
      <c r="U134" s="1">
        <v>42</v>
      </c>
      <c r="V134" s="1" t="s">
        <v>26</v>
      </c>
      <c r="W134" s="1" t="s">
        <v>25</v>
      </c>
      <c r="X134" s="1">
        <v>590.5</v>
      </c>
      <c r="Y134" s="1" t="s">
        <v>23</v>
      </c>
      <c r="Z134" s="1">
        <v>59.939999999999991</v>
      </c>
      <c r="AA134" s="1" t="s">
        <v>66</v>
      </c>
    </row>
    <row r="135" spans="1:27" x14ac:dyDescent="0.25">
      <c r="A135" s="1">
        <f t="shared" si="4"/>
        <v>131</v>
      </c>
      <c r="B135" s="1">
        <v>130.86178201600134</v>
      </c>
      <c r="C135" s="1">
        <v>401.74799999999999</v>
      </c>
      <c r="D135" s="1">
        <v>14.608649832434253</v>
      </c>
      <c r="E135" s="1">
        <v>757.1</v>
      </c>
      <c r="F135" s="1" t="s">
        <v>24</v>
      </c>
      <c r="G135" s="1" t="s">
        <v>25</v>
      </c>
      <c r="H135" s="1">
        <v>553.5</v>
      </c>
      <c r="I135" s="1" t="s">
        <v>23</v>
      </c>
      <c r="J135" s="1">
        <v>66.14</v>
      </c>
      <c r="K135" s="1" t="s">
        <v>43</v>
      </c>
      <c r="R135" s="1">
        <v>63.508782016001348</v>
      </c>
      <c r="S135" s="1">
        <v>482.09759999999994</v>
      </c>
      <c r="T135" s="1">
        <v>14.608649832434253</v>
      </c>
      <c r="U135" s="1">
        <v>757.1</v>
      </c>
      <c r="V135" s="1" t="s">
        <v>24</v>
      </c>
      <c r="W135" s="1" t="s">
        <v>25</v>
      </c>
      <c r="X135" s="1">
        <v>553.5</v>
      </c>
      <c r="Y135" s="1" t="s">
        <v>23</v>
      </c>
      <c r="Z135" s="1">
        <v>59.526000000000003</v>
      </c>
      <c r="AA135" s="1" t="s">
        <v>66</v>
      </c>
    </row>
    <row r="136" spans="1:27" x14ac:dyDescent="0.25">
      <c r="A136" s="1">
        <f t="shared" si="4"/>
        <v>132</v>
      </c>
      <c r="B136" s="1">
        <v>130.86178201600134</v>
      </c>
      <c r="C136" s="1" t="s">
        <v>47</v>
      </c>
      <c r="D136" s="1">
        <v>-654.97135016756579</v>
      </c>
      <c r="E136" s="1">
        <v>521</v>
      </c>
      <c r="F136" s="1" t="s">
        <v>28</v>
      </c>
      <c r="G136" s="1" t="s">
        <v>17</v>
      </c>
      <c r="H136" s="1">
        <v>553.5</v>
      </c>
      <c r="I136" s="1" t="s">
        <v>23</v>
      </c>
      <c r="J136" s="1">
        <v>64.569999999999993</v>
      </c>
      <c r="K136" s="1" t="s">
        <v>43</v>
      </c>
      <c r="R136" s="1">
        <v>63.508782016001348</v>
      </c>
      <c r="S136" s="1" t="e">
        <v>#VALUE!</v>
      </c>
      <c r="T136" s="1">
        <v>-654.97135016756579</v>
      </c>
      <c r="U136" s="1">
        <v>521</v>
      </c>
      <c r="V136" s="1" t="s">
        <v>28</v>
      </c>
      <c r="W136" s="1" t="s">
        <v>17</v>
      </c>
      <c r="X136" s="1">
        <v>553.5</v>
      </c>
      <c r="Y136" s="1" t="s">
        <v>23</v>
      </c>
      <c r="Z136" s="1">
        <v>58.112999999999992</v>
      </c>
      <c r="AA136" s="1" t="s">
        <v>66</v>
      </c>
    </row>
    <row r="137" spans="1:27" x14ac:dyDescent="0.25">
      <c r="A137" s="1">
        <f t="shared" si="4"/>
        <v>133</v>
      </c>
      <c r="B137" s="1">
        <v>106.55254569229398</v>
      </c>
      <c r="C137" s="1">
        <v>371.178</v>
      </c>
      <c r="D137" s="1">
        <v>20.743782447238516</v>
      </c>
      <c r="E137" s="1">
        <v>2373.14</v>
      </c>
      <c r="F137" s="1" t="s">
        <v>24</v>
      </c>
      <c r="G137" s="1" t="s">
        <v>25</v>
      </c>
      <c r="H137" s="1">
        <v>527.4</v>
      </c>
      <c r="I137" s="1" t="s">
        <v>34</v>
      </c>
      <c r="J137" s="1">
        <v>58.9</v>
      </c>
      <c r="K137" s="1" t="s">
        <v>44</v>
      </c>
      <c r="R137" s="1">
        <v>39.199545692293981</v>
      </c>
      <c r="S137" s="1">
        <v>445.41359999999997</v>
      </c>
      <c r="T137" s="1">
        <v>20.743782447238516</v>
      </c>
      <c r="U137" s="1">
        <v>2373.14</v>
      </c>
      <c r="V137" s="1" t="s">
        <v>24</v>
      </c>
      <c r="W137" s="1" t="s">
        <v>25</v>
      </c>
      <c r="X137" s="1">
        <v>527.4</v>
      </c>
      <c r="Y137" s="1" t="s">
        <v>34</v>
      </c>
      <c r="Z137" s="1">
        <v>53.01</v>
      </c>
      <c r="AA137" s="1" t="s">
        <v>67</v>
      </c>
    </row>
    <row r="138" spans="1:27" x14ac:dyDescent="0.25">
      <c r="A138" s="1">
        <f t="shared" si="4"/>
        <v>134</v>
      </c>
      <c r="B138" s="1">
        <v>107.6925426060354</v>
      </c>
      <c r="C138" s="1" t="s">
        <v>47</v>
      </c>
      <c r="D138" s="1">
        <v>-600.56326072000945</v>
      </c>
      <c r="F138" s="1" t="s">
        <v>22</v>
      </c>
      <c r="G138" s="1" t="s">
        <v>17</v>
      </c>
      <c r="H138" s="1">
        <v>529.29999999999995</v>
      </c>
      <c r="I138" s="1" t="s">
        <v>34</v>
      </c>
      <c r="J138" s="1">
        <v>59.2</v>
      </c>
      <c r="K138" s="1" t="s">
        <v>44</v>
      </c>
      <c r="R138" s="1">
        <v>40.339542606035408</v>
      </c>
      <c r="S138" s="1" t="e">
        <v>#VALUE!</v>
      </c>
      <c r="T138" s="1">
        <v>-600.56326072000945</v>
      </c>
      <c r="V138" s="1" t="s">
        <v>22</v>
      </c>
      <c r="W138" s="1" t="s">
        <v>17</v>
      </c>
      <c r="X138" s="1">
        <v>529.29999999999995</v>
      </c>
      <c r="Y138" s="1" t="s">
        <v>34</v>
      </c>
      <c r="Z138" s="1">
        <v>53.28</v>
      </c>
      <c r="AA138" s="1" t="s">
        <v>67</v>
      </c>
    </row>
    <row r="139" spans="1:27" x14ac:dyDescent="0.25">
      <c r="A139" s="1">
        <f t="shared" si="4"/>
        <v>135</v>
      </c>
      <c r="B139" s="1">
        <v>107.5125430856133</v>
      </c>
      <c r="C139" s="1" t="s">
        <v>47</v>
      </c>
      <c r="D139" s="1">
        <v>-600.14056967545878</v>
      </c>
      <c r="F139" s="1" t="s">
        <v>22</v>
      </c>
      <c r="G139" s="1" t="s">
        <v>17</v>
      </c>
      <c r="H139" s="1">
        <v>529</v>
      </c>
      <c r="I139" s="1" t="s">
        <v>34</v>
      </c>
      <c r="J139" s="1">
        <v>59.3</v>
      </c>
      <c r="K139" s="1" t="s">
        <v>44</v>
      </c>
      <c r="R139" s="1">
        <v>40.159543085613308</v>
      </c>
      <c r="S139" s="1" t="e">
        <v>#VALUE!</v>
      </c>
      <c r="T139" s="1">
        <v>-600.14056967545878</v>
      </c>
      <c r="V139" s="1" t="s">
        <v>22</v>
      </c>
      <c r="W139" s="1" t="s">
        <v>17</v>
      </c>
      <c r="X139" s="1">
        <v>529</v>
      </c>
      <c r="Y139" s="1" t="s">
        <v>34</v>
      </c>
      <c r="Z139" s="1">
        <v>53.37</v>
      </c>
      <c r="AA139" s="1" t="s">
        <v>67</v>
      </c>
    </row>
    <row r="140" spans="1:27" x14ac:dyDescent="0.25">
      <c r="A140" s="1">
        <f t="shared" si="4"/>
        <v>136</v>
      </c>
      <c r="B140" s="1">
        <v>110.24253612116988</v>
      </c>
      <c r="C140" s="1" t="s">
        <v>47</v>
      </c>
      <c r="D140" s="1">
        <v>-606.5513845771286</v>
      </c>
      <c r="F140" s="1" t="s">
        <v>22</v>
      </c>
      <c r="G140" s="1" t="s">
        <v>17</v>
      </c>
      <c r="H140" s="1">
        <v>533.54999999999995</v>
      </c>
      <c r="I140" s="1" t="s">
        <v>34</v>
      </c>
      <c r="J140" s="1">
        <v>59.6</v>
      </c>
      <c r="K140" s="1" t="s">
        <v>44</v>
      </c>
      <c r="R140" s="1">
        <v>42.889536121169883</v>
      </c>
      <c r="S140" s="1" t="e">
        <v>#VALUE!</v>
      </c>
      <c r="T140" s="1">
        <v>-606.5513845771286</v>
      </c>
      <c r="V140" s="1" t="s">
        <v>22</v>
      </c>
      <c r="W140" s="1" t="s">
        <v>17</v>
      </c>
      <c r="X140" s="1">
        <v>533.54999999999995</v>
      </c>
      <c r="Y140" s="1" t="s">
        <v>34</v>
      </c>
      <c r="Z140" s="1">
        <v>53.64</v>
      </c>
      <c r="AA140" s="1" t="s">
        <v>67</v>
      </c>
    </row>
    <row r="141" spans="1:27" x14ac:dyDescent="0.25">
      <c r="A141" s="1">
        <f t="shared" si="4"/>
        <v>137</v>
      </c>
      <c r="B141" s="1">
        <v>110.51253546813329</v>
      </c>
      <c r="C141" s="1" t="s">
        <v>47</v>
      </c>
      <c r="D141" s="1">
        <v>-607.18542129971729</v>
      </c>
      <c r="F141" s="1" t="s">
        <v>22</v>
      </c>
      <c r="G141" s="1" t="s">
        <v>17</v>
      </c>
      <c r="H141" s="1">
        <v>534</v>
      </c>
      <c r="I141" s="1" t="s">
        <v>34</v>
      </c>
      <c r="J141" s="1">
        <v>59.7</v>
      </c>
      <c r="K141" s="1" t="s">
        <v>44</v>
      </c>
      <c r="R141" s="1">
        <v>43.159535468133299</v>
      </c>
      <c r="S141" s="1" t="e">
        <v>#VALUE!</v>
      </c>
      <c r="T141" s="1">
        <v>-607.18542129971729</v>
      </c>
      <c r="V141" s="1" t="s">
        <v>22</v>
      </c>
      <c r="W141" s="1" t="s">
        <v>17</v>
      </c>
      <c r="X141" s="1">
        <v>534</v>
      </c>
      <c r="Y141" s="1" t="s">
        <v>34</v>
      </c>
      <c r="Z141" s="1">
        <v>53.73</v>
      </c>
      <c r="AA141" s="1" t="s">
        <v>67</v>
      </c>
    </row>
    <row r="142" spans="1:27" x14ac:dyDescent="0.25">
      <c r="A142" s="1">
        <f t="shared" si="4"/>
        <v>138</v>
      </c>
      <c r="B142" s="1">
        <v>137.87235361761492</v>
      </c>
      <c r="C142" s="1" t="s">
        <v>47</v>
      </c>
      <c r="D142" s="1">
        <v>-671.43420421425594</v>
      </c>
      <c r="F142" s="1" t="s">
        <v>22</v>
      </c>
      <c r="G142" s="1" t="s">
        <v>17</v>
      </c>
      <c r="H142" s="1">
        <v>579.6</v>
      </c>
      <c r="I142" s="1" t="s">
        <v>34</v>
      </c>
      <c r="J142" s="1">
        <v>59.9</v>
      </c>
      <c r="K142" s="1" t="s">
        <v>44</v>
      </c>
      <c r="R142" s="1">
        <v>70.519353617614925</v>
      </c>
      <c r="S142" s="1" t="e">
        <v>#VALUE!</v>
      </c>
      <c r="T142" s="1">
        <v>-671.43420421425594</v>
      </c>
      <c r="V142" s="1" t="s">
        <v>22</v>
      </c>
      <c r="W142" s="1" t="s">
        <v>17</v>
      </c>
      <c r="X142" s="1">
        <v>579.6</v>
      </c>
      <c r="Y142" s="1" t="s">
        <v>34</v>
      </c>
      <c r="Z142" s="1">
        <v>53.91</v>
      </c>
      <c r="AA142" s="1" t="s">
        <v>67</v>
      </c>
    </row>
    <row r="143" spans="1:27" x14ac:dyDescent="0.25">
      <c r="A143" s="1">
        <f t="shared" si="4"/>
        <v>139</v>
      </c>
      <c r="B143" s="1">
        <v>137.51236250006039</v>
      </c>
      <c r="C143" s="1" t="s">
        <v>47</v>
      </c>
      <c r="D143" s="1">
        <v>-670.58884073133527</v>
      </c>
      <c r="F143" s="1" t="s">
        <v>22</v>
      </c>
      <c r="G143" s="1" t="s">
        <v>17</v>
      </c>
      <c r="H143" s="1">
        <v>579</v>
      </c>
      <c r="I143" s="1" t="s">
        <v>34</v>
      </c>
      <c r="J143" s="1">
        <v>60.1</v>
      </c>
      <c r="K143" s="1" t="s">
        <v>44</v>
      </c>
      <c r="R143" s="1">
        <v>70.159362500060396</v>
      </c>
      <c r="S143" s="1" t="e">
        <v>#VALUE!</v>
      </c>
      <c r="T143" s="1">
        <v>-670.58884073133527</v>
      </c>
      <c r="V143" s="1" t="s">
        <v>22</v>
      </c>
      <c r="W143" s="1" t="s">
        <v>17</v>
      </c>
      <c r="X143" s="1">
        <v>579</v>
      </c>
      <c r="Y143" s="1" t="s">
        <v>34</v>
      </c>
      <c r="Z143" s="1">
        <v>54.09</v>
      </c>
      <c r="AA143" s="1" t="s">
        <v>67</v>
      </c>
    </row>
    <row r="144" spans="1:27" x14ac:dyDescent="0.25">
      <c r="A144" s="1">
        <f t="shared" si="4"/>
        <v>140</v>
      </c>
      <c r="B144" s="1">
        <v>140.33228330419169</v>
      </c>
      <c r="C144" s="1" t="s">
        <v>47</v>
      </c>
      <c r="D144" s="1">
        <v>-677.21083209805249</v>
      </c>
      <c r="F144" s="1" t="s">
        <v>22</v>
      </c>
      <c r="G144" s="1" t="s">
        <v>17</v>
      </c>
      <c r="H144" s="1">
        <v>583.70000000000005</v>
      </c>
      <c r="I144" s="1" t="s">
        <v>34</v>
      </c>
      <c r="J144" s="1">
        <v>60.5</v>
      </c>
      <c r="K144" s="1" t="s">
        <v>44</v>
      </c>
      <c r="R144" s="1">
        <v>72.979283304191696</v>
      </c>
      <c r="S144" s="1" t="e">
        <v>#VALUE!</v>
      </c>
      <c r="T144" s="1">
        <v>-677.21083209805249</v>
      </c>
      <c r="V144" s="1" t="s">
        <v>22</v>
      </c>
      <c r="W144" s="1" t="s">
        <v>17</v>
      </c>
      <c r="X144" s="1">
        <v>583.70000000000005</v>
      </c>
      <c r="Y144" s="1" t="s">
        <v>34</v>
      </c>
      <c r="Z144" s="1">
        <v>54.45</v>
      </c>
      <c r="AA144" s="1" t="s">
        <v>67</v>
      </c>
    </row>
    <row r="145" spans="1:27" x14ac:dyDescent="0.25">
      <c r="A145" s="1">
        <f t="shared" si="4"/>
        <v>141</v>
      </c>
      <c r="B145" s="1">
        <v>140.03229281484514</v>
      </c>
      <c r="C145" s="1" t="s">
        <v>47</v>
      </c>
      <c r="D145" s="1">
        <v>-676.50636748059242</v>
      </c>
      <c r="F145" s="1" t="s">
        <v>22</v>
      </c>
      <c r="G145" s="1" t="s">
        <v>17</v>
      </c>
      <c r="H145" s="1">
        <v>583.20000000000005</v>
      </c>
      <c r="I145" s="1" t="s">
        <v>34</v>
      </c>
      <c r="J145" s="1">
        <v>60.6</v>
      </c>
      <c r="K145" s="1" t="s">
        <v>44</v>
      </c>
      <c r="R145" s="1">
        <v>72.679292814845141</v>
      </c>
      <c r="S145" s="1" t="e">
        <v>#VALUE!</v>
      </c>
      <c r="T145" s="1">
        <v>-676.50636748059242</v>
      </c>
      <c r="V145" s="1" t="s">
        <v>22</v>
      </c>
      <c r="W145" s="1" t="s">
        <v>17</v>
      </c>
      <c r="X145" s="1">
        <v>583.20000000000005</v>
      </c>
      <c r="Y145" s="1" t="s">
        <v>34</v>
      </c>
      <c r="Z145" s="1">
        <v>54.54</v>
      </c>
      <c r="AA145" s="1" t="s">
        <v>67</v>
      </c>
    </row>
    <row r="146" spans="1:27" x14ac:dyDescent="0.25">
      <c r="A146" s="1">
        <f t="shared" si="4"/>
        <v>142</v>
      </c>
      <c r="B146" s="1">
        <v>140.63227352219562</v>
      </c>
      <c r="C146" s="1" t="s">
        <v>47</v>
      </c>
      <c r="D146" s="1">
        <v>-677.91529607832149</v>
      </c>
      <c r="F146" s="1" t="s">
        <v>28</v>
      </c>
      <c r="G146" s="1" t="s">
        <v>17</v>
      </c>
      <c r="H146" s="1">
        <v>584.20000000000005</v>
      </c>
      <c r="I146" s="1" t="s">
        <v>34</v>
      </c>
      <c r="J146" s="1">
        <v>61</v>
      </c>
      <c r="K146" s="1" t="s">
        <v>44</v>
      </c>
      <c r="R146" s="1">
        <v>73.279273522195624</v>
      </c>
      <c r="S146" s="1" t="e">
        <v>#VALUE!</v>
      </c>
      <c r="T146" s="1">
        <v>-677.91529607832149</v>
      </c>
      <c r="V146" s="1" t="s">
        <v>28</v>
      </c>
      <c r="W146" s="1" t="s">
        <v>17</v>
      </c>
      <c r="X146" s="1">
        <v>584.20000000000005</v>
      </c>
      <c r="Y146" s="1" t="s">
        <v>34</v>
      </c>
      <c r="Z146" s="1">
        <v>54.9</v>
      </c>
      <c r="AA146" s="1" t="s">
        <v>67</v>
      </c>
    </row>
    <row r="147" spans="1:27" x14ac:dyDescent="0.25">
      <c r="A147" s="1">
        <f t="shared" si="4"/>
        <v>143</v>
      </c>
      <c r="B147" s="1">
        <v>144.71212612189439</v>
      </c>
      <c r="C147" s="1" t="s">
        <v>47</v>
      </c>
      <c r="D147" s="1">
        <v>-687.49597247643305</v>
      </c>
      <c r="E147" s="1" t="s">
        <v>35</v>
      </c>
      <c r="F147" s="1" t="s">
        <v>29</v>
      </c>
      <c r="G147" s="1" t="s">
        <v>17</v>
      </c>
      <c r="H147" s="1">
        <v>591</v>
      </c>
      <c r="I147" s="1" t="s">
        <v>34</v>
      </c>
      <c r="J147" s="1">
        <v>61.3</v>
      </c>
      <c r="K147" s="1" t="s">
        <v>44</v>
      </c>
      <c r="R147" s="1">
        <v>77.359126121894391</v>
      </c>
      <c r="S147" s="1" t="e">
        <v>#VALUE!</v>
      </c>
      <c r="T147" s="1">
        <v>-687.49597247643305</v>
      </c>
      <c r="U147" s="1" t="s">
        <v>35</v>
      </c>
      <c r="V147" s="1" t="s">
        <v>29</v>
      </c>
      <c r="W147" s="1" t="s">
        <v>17</v>
      </c>
      <c r="X147" s="1">
        <v>591</v>
      </c>
      <c r="Y147" s="1" t="s">
        <v>34</v>
      </c>
      <c r="Z147" s="1">
        <v>55.17</v>
      </c>
      <c r="AA147" s="1" t="s">
        <v>67</v>
      </c>
    </row>
    <row r="148" spans="1:27" x14ac:dyDescent="0.25">
      <c r="A148" s="1">
        <f t="shared" si="4"/>
        <v>144</v>
      </c>
      <c r="B148" s="1">
        <v>144.71212612189439</v>
      </c>
      <c r="C148" s="1" t="s">
        <v>47</v>
      </c>
      <c r="D148" s="1">
        <v>-687.49597247643305</v>
      </c>
      <c r="F148" s="1" t="s">
        <v>28</v>
      </c>
      <c r="G148" s="1" t="s">
        <v>17</v>
      </c>
      <c r="H148" s="1">
        <v>591</v>
      </c>
      <c r="I148" s="1" t="s">
        <v>34</v>
      </c>
      <c r="J148" s="1">
        <v>61.3</v>
      </c>
      <c r="K148" s="1" t="s">
        <v>44</v>
      </c>
      <c r="R148" s="1">
        <v>77.359126121894391</v>
      </c>
      <c r="S148" s="1" t="e">
        <v>#VALUE!</v>
      </c>
      <c r="T148" s="1">
        <v>-687.49597247643305</v>
      </c>
      <c r="V148" s="1" t="s">
        <v>28</v>
      </c>
      <c r="W148" s="1" t="s">
        <v>17</v>
      </c>
      <c r="X148" s="1">
        <v>591</v>
      </c>
      <c r="Y148" s="1" t="s">
        <v>34</v>
      </c>
      <c r="Z148" s="1">
        <v>55.17</v>
      </c>
      <c r="AA148" s="1" t="s">
        <v>67</v>
      </c>
    </row>
    <row r="149" spans="1:27" x14ac:dyDescent="0.25">
      <c r="A149" s="1">
        <f t="shared" si="4"/>
        <v>145</v>
      </c>
      <c r="B149" s="1">
        <v>145.01211566238121</v>
      </c>
      <c r="C149" s="1" t="s">
        <v>47</v>
      </c>
      <c r="D149" s="1">
        <v>-688.20043486569534</v>
      </c>
      <c r="F149" s="1" t="s">
        <v>22</v>
      </c>
      <c r="G149" s="1" t="s">
        <v>17</v>
      </c>
      <c r="H149" s="1">
        <v>591.5</v>
      </c>
      <c r="I149" s="1" t="s">
        <v>34</v>
      </c>
      <c r="J149" s="1">
        <v>61.3</v>
      </c>
      <c r="K149" s="1" t="s">
        <v>44</v>
      </c>
      <c r="R149" s="1">
        <v>77.659115662381211</v>
      </c>
      <c r="S149" s="1" t="e">
        <v>#VALUE!</v>
      </c>
      <c r="T149" s="1">
        <v>-688.20043486569534</v>
      </c>
      <c r="V149" s="1" t="s">
        <v>22</v>
      </c>
      <c r="W149" s="1" t="s">
        <v>17</v>
      </c>
      <c r="X149" s="1">
        <v>591.5</v>
      </c>
      <c r="Y149" s="1" t="s">
        <v>34</v>
      </c>
      <c r="Z149" s="1">
        <v>55.17</v>
      </c>
      <c r="AA149" s="1" t="s">
        <v>67</v>
      </c>
    </row>
    <row r="150" spans="1:27" x14ac:dyDescent="0.25">
      <c r="A150" s="1">
        <f t="shared" si="4"/>
        <v>146</v>
      </c>
      <c r="B150" s="1">
        <v>158.69173488913916</v>
      </c>
      <c r="C150" s="1" t="s">
        <v>47</v>
      </c>
      <c r="D150" s="1">
        <v>-720.32414567589217</v>
      </c>
      <c r="F150" s="1" t="s">
        <v>22</v>
      </c>
      <c r="G150" s="1" t="s">
        <v>17</v>
      </c>
      <c r="H150" s="1">
        <v>614.29999999999995</v>
      </c>
      <c r="I150" s="1" t="s">
        <v>34</v>
      </c>
      <c r="J150" s="1">
        <v>62.3</v>
      </c>
      <c r="K150" s="1" t="s">
        <v>44</v>
      </c>
      <c r="R150" s="1">
        <v>91.338734889139161</v>
      </c>
      <c r="S150" s="1" t="e">
        <v>#VALUE!</v>
      </c>
      <c r="T150" s="1">
        <v>-720.32414567589217</v>
      </c>
      <c r="V150" s="1" t="s">
        <v>22</v>
      </c>
      <c r="W150" s="1" t="s">
        <v>17</v>
      </c>
      <c r="X150" s="1">
        <v>614.29999999999995</v>
      </c>
      <c r="Y150" s="1" t="s">
        <v>34</v>
      </c>
      <c r="Z150" s="1">
        <v>56.07</v>
      </c>
      <c r="AA150" s="1" t="s">
        <v>67</v>
      </c>
    </row>
    <row r="151" spans="1:27" x14ac:dyDescent="0.25">
      <c r="A151" s="1">
        <f t="shared" si="4"/>
        <v>147</v>
      </c>
      <c r="B151" s="1">
        <v>166.07158045790302</v>
      </c>
      <c r="C151" s="1" t="s">
        <v>47</v>
      </c>
      <c r="D151" s="1">
        <v>-737.65416202687106</v>
      </c>
      <c r="F151" s="1" t="s">
        <v>22</v>
      </c>
      <c r="G151" s="1" t="s">
        <v>17</v>
      </c>
      <c r="H151" s="1">
        <v>626.6</v>
      </c>
      <c r="I151" s="1" t="s">
        <v>34</v>
      </c>
      <c r="J151" s="1">
        <v>62.5</v>
      </c>
      <c r="K151" s="1" t="s">
        <v>44</v>
      </c>
      <c r="R151" s="1">
        <v>98.71858045790303</v>
      </c>
      <c r="S151" s="1" t="e">
        <v>#VALUE!</v>
      </c>
      <c r="T151" s="1">
        <v>-737.65416202687106</v>
      </c>
      <c r="V151" s="1" t="s">
        <v>22</v>
      </c>
      <c r="W151" s="1" t="s">
        <v>17</v>
      </c>
      <c r="X151" s="1">
        <v>626.6</v>
      </c>
      <c r="Y151" s="1" t="s">
        <v>34</v>
      </c>
      <c r="Z151" s="1">
        <v>56.25</v>
      </c>
      <c r="AA151" s="1" t="s">
        <v>67</v>
      </c>
    </row>
    <row r="152" spans="1:27" x14ac:dyDescent="0.25">
      <c r="A152" s="1">
        <f t="shared" si="4"/>
        <v>148</v>
      </c>
      <c r="B152" s="1">
        <v>176.81141853185665</v>
      </c>
      <c r="C152" s="1" t="s">
        <v>47</v>
      </c>
      <c r="D152" s="1">
        <v>-762.8744146316501</v>
      </c>
      <c r="F152" s="1" t="s">
        <v>22</v>
      </c>
      <c r="G152" s="1" t="s">
        <v>17</v>
      </c>
      <c r="H152" s="1">
        <v>644.5</v>
      </c>
      <c r="I152" s="1" t="s">
        <v>34</v>
      </c>
      <c r="J152" s="1">
        <v>62.6</v>
      </c>
      <c r="K152" s="1" t="s">
        <v>44</v>
      </c>
      <c r="R152" s="1">
        <v>109.45841853185665</v>
      </c>
      <c r="S152" s="1" t="e">
        <v>#VALUE!</v>
      </c>
      <c r="T152" s="1">
        <v>-762.8744146316501</v>
      </c>
      <c r="V152" s="1" t="s">
        <v>22</v>
      </c>
      <c r="W152" s="1" t="s">
        <v>17</v>
      </c>
      <c r="X152" s="1">
        <v>644.5</v>
      </c>
      <c r="Y152" s="1" t="s">
        <v>34</v>
      </c>
      <c r="Z152" s="1">
        <v>56.34</v>
      </c>
      <c r="AA152" s="1" t="s">
        <v>67</v>
      </c>
    </row>
    <row r="153" spans="1:27" x14ac:dyDescent="0.25">
      <c r="A153" s="1">
        <f t="shared" si="4"/>
        <v>149</v>
      </c>
      <c r="B153" s="1">
        <v>182.93135492727285</v>
      </c>
      <c r="C153" s="1" t="s">
        <v>47</v>
      </c>
      <c r="D153" s="1">
        <v>-777.24579907476368</v>
      </c>
      <c r="F153" s="1" t="s">
        <v>22</v>
      </c>
      <c r="G153" s="1" t="s">
        <v>17</v>
      </c>
      <c r="H153" s="1">
        <v>654.70000000000005</v>
      </c>
      <c r="I153" s="1" t="s">
        <v>34</v>
      </c>
      <c r="J153" s="1">
        <v>62.8</v>
      </c>
      <c r="K153" s="1" t="s">
        <v>44</v>
      </c>
      <c r="R153" s="1">
        <v>115.57835492727285</v>
      </c>
      <c r="S153" s="1" t="e">
        <v>#VALUE!</v>
      </c>
      <c r="T153" s="1">
        <v>-777.24579907476368</v>
      </c>
      <c r="V153" s="1" t="s">
        <v>22</v>
      </c>
      <c r="W153" s="1" t="s">
        <v>17</v>
      </c>
      <c r="X153" s="1">
        <v>654.70000000000005</v>
      </c>
      <c r="Y153" s="1" t="s">
        <v>34</v>
      </c>
      <c r="Z153" s="1">
        <v>56.52</v>
      </c>
      <c r="AA153" s="1" t="s">
        <v>67</v>
      </c>
    </row>
    <row r="154" spans="1:27" x14ac:dyDescent="0.25">
      <c r="A154" s="1">
        <f t="shared" si="4"/>
        <v>150</v>
      </c>
      <c r="B154" s="1">
        <v>192.11128145759844</v>
      </c>
      <c r="C154" s="1" t="s">
        <v>47</v>
      </c>
      <c r="D154" s="1">
        <v>-798.80292725434106</v>
      </c>
      <c r="F154" s="1" t="s">
        <v>22</v>
      </c>
      <c r="G154" s="1" t="s">
        <v>17</v>
      </c>
      <c r="H154" s="1">
        <v>670</v>
      </c>
      <c r="I154" s="1" t="s">
        <v>34</v>
      </c>
      <c r="J154" s="1">
        <v>63.8</v>
      </c>
      <c r="K154" s="1" t="s">
        <v>44</v>
      </c>
      <c r="R154" s="1">
        <v>124.75828145759844</v>
      </c>
      <c r="S154" s="1" t="e">
        <v>#VALUE!</v>
      </c>
      <c r="T154" s="1">
        <v>-798.80292725434106</v>
      </c>
      <c r="V154" s="1" t="s">
        <v>22</v>
      </c>
      <c r="W154" s="1" t="s">
        <v>17</v>
      </c>
      <c r="X154" s="1">
        <v>670</v>
      </c>
      <c r="Y154" s="1" t="s">
        <v>34</v>
      </c>
      <c r="Z154" s="1">
        <v>57.42</v>
      </c>
      <c r="AA154" s="1" t="s">
        <v>67</v>
      </c>
    </row>
    <row r="155" spans="1:27" x14ac:dyDescent="0.25">
      <c r="A155" s="1">
        <f t="shared" si="4"/>
        <v>151</v>
      </c>
      <c r="B155" s="1">
        <v>195.83124848820538</v>
      </c>
      <c r="C155" s="1" t="s">
        <v>47</v>
      </c>
      <c r="D155" s="1">
        <v>-807.53848802791424</v>
      </c>
      <c r="F155" s="1" t="s">
        <v>22</v>
      </c>
      <c r="G155" s="1" t="s">
        <v>17</v>
      </c>
      <c r="H155" s="1">
        <v>676.2</v>
      </c>
      <c r="I155" s="1" t="s">
        <v>34</v>
      </c>
      <c r="J155" s="1">
        <v>64</v>
      </c>
      <c r="K155" s="1" t="s">
        <v>44</v>
      </c>
      <c r="R155" s="1">
        <v>128.4782484882054</v>
      </c>
      <c r="S155" s="1" t="e">
        <v>#VALUE!</v>
      </c>
      <c r="T155" s="1">
        <v>-807.53848802791424</v>
      </c>
      <c r="V155" s="1" t="s">
        <v>22</v>
      </c>
      <c r="W155" s="1" t="s">
        <v>17</v>
      </c>
      <c r="X155" s="1">
        <v>676.2</v>
      </c>
      <c r="Y155" s="1" t="s">
        <v>34</v>
      </c>
      <c r="Z155" s="1">
        <v>57.6</v>
      </c>
      <c r="AA155" s="1" t="s">
        <v>67</v>
      </c>
    </row>
    <row r="156" spans="1:27" x14ac:dyDescent="0.25">
      <c r="A156" s="1">
        <f t="shared" si="4"/>
        <v>152</v>
      </c>
      <c r="B156" s="1">
        <v>212.21100360125328</v>
      </c>
      <c r="C156" s="1">
        <v>504.666</v>
      </c>
      <c r="D156" s="1">
        <v>-4.8929004995832202</v>
      </c>
      <c r="E156" s="1">
        <v>163.5</v>
      </c>
      <c r="F156" s="1" t="s">
        <v>26</v>
      </c>
      <c r="G156" s="1" t="s">
        <v>25</v>
      </c>
      <c r="H156" s="1">
        <v>703.5</v>
      </c>
      <c r="I156" s="1" t="s">
        <v>34</v>
      </c>
      <c r="J156" s="1">
        <v>64.5</v>
      </c>
      <c r="K156" s="1" t="s">
        <v>44</v>
      </c>
      <c r="R156" s="1">
        <v>144.8580036012533</v>
      </c>
      <c r="S156" s="1">
        <v>605.5992</v>
      </c>
      <c r="T156" s="1">
        <v>-4.8929004995832202</v>
      </c>
      <c r="U156" s="1">
        <v>163.5</v>
      </c>
      <c r="V156" s="1" t="s">
        <v>26</v>
      </c>
      <c r="W156" s="1" t="s">
        <v>25</v>
      </c>
      <c r="X156" s="1">
        <v>703.5</v>
      </c>
      <c r="Y156" s="1" t="s">
        <v>34</v>
      </c>
      <c r="Z156" s="1">
        <v>58.05</v>
      </c>
      <c r="AA156" s="1" t="s">
        <v>67</v>
      </c>
    </row>
    <row r="157" spans="1:27" x14ac:dyDescent="0.25">
      <c r="A157" s="1">
        <f t="shared" si="4"/>
        <v>153</v>
      </c>
      <c r="B157" s="1">
        <v>212.21100360125328</v>
      </c>
      <c r="C157" s="1">
        <v>504.86400000000003</v>
      </c>
      <c r="D157" s="1">
        <v>-4.5629004995831792</v>
      </c>
      <c r="E157" s="1">
        <v>176.1</v>
      </c>
      <c r="F157" s="1" t="s">
        <v>26</v>
      </c>
      <c r="G157" s="1" t="s">
        <v>19</v>
      </c>
      <c r="H157" s="1">
        <v>703.5</v>
      </c>
      <c r="I157" s="1" t="s">
        <v>34</v>
      </c>
      <c r="J157" s="1">
        <v>64.5</v>
      </c>
      <c r="K157" s="1" t="s">
        <v>44</v>
      </c>
      <c r="R157" s="1">
        <v>144.8580036012533</v>
      </c>
      <c r="S157" s="1">
        <v>605.83680000000004</v>
      </c>
      <c r="T157" s="1">
        <v>-4.5629004995831792</v>
      </c>
      <c r="U157" s="1">
        <v>176.1</v>
      </c>
      <c r="V157" s="1" t="s">
        <v>26</v>
      </c>
      <c r="W157" s="1" t="s">
        <v>19</v>
      </c>
      <c r="X157" s="1">
        <v>703.5</v>
      </c>
      <c r="Y157" s="1" t="s">
        <v>34</v>
      </c>
      <c r="Z157" s="1">
        <v>58.05</v>
      </c>
      <c r="AA157" s="1" t="s">
        <v>67</v>
      </c>
    </row>
    <row r="158" spans="1:27" x14ac:dyDescent="0.25">
      <c r="A158" s="1">
        <f t="shared" si="4"/>
        <v>154</v>
      </c>
      <c r="B158" s="1">
        <v>212.21100360125328</v>
      </c>
      <c r="C158" s="1">
        <v>505.14599999999996</v>
      </c>
      <c r="D158" s="1">
        <v>-4.0929004995832656</v>
      </c>
      <c r="E158" s="1">
        <v>204.7</v>
      </c>
      <c r="F158" s="1" t="s">
        <v>24</v>
      </c>
      <c r="G158" s="1" t="s">
        <v>25</v>
      </c>
      <c r="H158" s="1">
        <v>703.5</v>
      </c>
      <c r="I158" s="1" t="s">
        <v>34</v>
      </c>
      <c r="J158" s="1">
        <v>64.5</v>
      </c>
      <c r="K158" s="1" t="s">
        <v>44</v>
      </c>
      <c r="R158" s="1">
        <v>144.8580036012533</v>
      </c>
      <c r="S158" s="1">
        <v>606.1751999999999</v>
      </c>
      <c r="T158" s="1">
        <v>-4.0929004995832656</v>
      </c>
      <c r="U158" s="1">
        <v>204.7</v>
      </c>
      <c r="V158" s="1" t="s">
        <v>24</v>
      </c>
      <c r="W158" s="1" t="s">
        <v>25</v>
      </c>
      <c r="X158" s="1">
        <v>703.5</v>
      </c>
      <c r="Y158" s="1" t="s">
        <v>34</v>
      </c>
      <c r="Z158" s="1">
        <v>58.05</v>
      </c>
      <c r="AA158" s="1" t="s">
        <v>67</v>
      </c>
    </row>
    <row r="159" spans="1:27" x14ac:dyDescent="0.25">
      <c r="A159" s="1">
        <f t="shared" si="4"/>
        <v>155</v>
      </c>
      <c r="B159" s="1">
        <v>212.39099936890423</v>
      </c>
      <c r="C159" s="1">
        <v>504.59399999999999</v>
      </c>
      <c r="D159" s="1">
        <v>-5.4355827315395118</v>
      </c>
      <c r="E159" s="1">
        <v>51</v>
      </c>
      <c r="F159" s="1" t="s">
        <v>26</v>
      </c>
      <c r="G159" s="1" t="s">
        <v>25</v>
      </c>
      <c r="H159" s="1">
        <v>703.8</v>
      </c>
      <c r="I159" s="1" t="s">
        <v>34</v>
      </c>
      <c r="J159" s="1">
        <v>64.8</v>
      </c>
      <c r="K159" s="1" t="s">
        <v>44</v>
      </c>
      <c r="R159" s="1">
        <v>145.03799936890425</v>
      </c>
      <c r="S159" s="1">
        <v>605.51279999999997</v>
      </c>
      <c r="T159" s="1">
        <v>-5.4355827315395118</v>
      </c>
      <c r="U159" s="1">
        <v>51</v>
      </c>
      <c r="V159" s="1" t="s">
        <v>26</v>
      </c>
      <c r="W159" s="1" t="s">
        <v>25</v>
      </c>
      <c r="X159" s="1">
        <v>703.8</v>
      </c>
      <c r="Y159" s="1" t="s">
        <v>34</v>
      </c>
      <c r="Z159" s="1">
        <v>58.32</v>
      </c>
      <c r="AA159" s="1" t="s">
        <v>67</v>
      </c>
    </row>
    <row r="160" spans="1:27" x14ac:dyDescent="0.25">
      <c r="A160" s="1">
        <f t="shared" si="4"/>
        <v>156</v>
      </c>
      <c r="B160" s="1">
        <v>212.39099936890423</v>
      </c>
      <c r="C160" s="1">
        <v>505.02</v>
      </c>
      <c r="D160" s="1">
        <v>-4.7255827315394754</v>
      </c>
      <c r="E160" s="1">
        <v>93.5</v>
      </c>
      <c r="F160" s="1" t="s">
        <v>26</v>
      </c>
      <c r="G160" s="1" t="s">
        <v>25</v>
      </c>
      <c r="H160" s="1">
        <v>703.8</v>
      </c>
      <c r="I160" s="1" t="s">
        <v>34</v>
      </c>
      <c r="J160" s="1">
        <v>64.8</v>
      </c>
      <c r="K160" s="1" t="s">
        <v>44</v>
      </c>
      <c r="R160" s="1">
        <v>145.03799936890425</v>
      </c>
      <c r="S160" s="1">
        <v>606.024</v>
      </c>
      <c r="T160" s="1">
        <v>-4.7255827315394754</v>
      </c>
      <c r="U160" s="1">
        <v>93.5</v>
      </c>
      <c r="V160" s="1" t="s">
        <v>26</v>
      </c>
      <c r="W160" s="1" t="s">
        <v>25</v>
      </c>
      <c r="X160" s="1">
        <v>703.8</v>
      </c>
      <c r="Y160" s="1" t="s">
        <v>34</v>
      </c>
      <c r="Z160" s="1">
        <v>58.32</v>
      </c>
      <c r="AA160" s="1" t="s">
        <v>67</v>
      </c>
    </row>
    <row r="161" spans="1:27" x14ac:dyDescent="0.25">
      <c r="A161" s="1">
        <f t="shared" si="4"/>
        <v>157</v>
      </c>
      <c r="B161" s="1">
        <v>217.61087363282812</v>
      </c>
      <c r="C161" s="1" t="s">
        <v>47</v>
      </c>
      <c r="D161" s="1">
        <v>-858.68336041820828</v>
      </c>
      <c r="F161" s="1" t="s">
        <v>22</v>
      </c>
      <c r="G161" s="1" t="s">
        <v>17</v>
      </c>
      <c r="H161" s="1">
        <v>712.5</v>
      </c>
      <c r="I161" s="1" t="s">
        <v>34</v>
      </c>
      <c r="J161" s="1">
        <v>64.8</v>
      </c>
      <c r="K161" s="1" t="s">
        <v>44</v>
      </c>
      <c r="R161" s="1">
        <v>150.25787363282814</v>
      </c>
      <c r="S161" s="1" t="e">
        <v>#VALUE!</v>
      </c>
      <c r="T161" s="1">
        <v>-858.68336041820828</v>
      </c>
      <c r="V161" s="1" t="s">
        <v>22</v>
      </c>
      <c r="W161" s="1" t="s">
        <v>17</v>
      </c>
      <c r="X161" s="1">
        <v>712.5</v>
      </c>
      <c r="Y161" s="1" t="s">
        <v>34</v>
      </c>
      <c r="Z161" s="1">
        <v>58.32</v>
      </c>
      <c r="AA161" s="1" t="s">
        <v>67</v>
      </c>
    </row>
    <row r="162" spans="1:27" x14ac:dyDescent="0.25">
      <c r="A162" s="1">
        <f t="shared" si="4"/>
        <v>158</v>
      </c>
      <c r="B162" s="1">
        <v>217.79086919288144</v>
      </c>
      <c r="C162" s="1" t="s">
        <v>47</v>
      </c>
      <c r="D162" s="1">
        <v>-859.10604216266529</v>
      </c>
      <c r="F162" s="1" t="s">
        <v>22</v>
      </c>
      <c r="G162" s="1" t="s">
        <v>17</v>
      </c>
      <c r="H162" s="1">
        <v>712.8</v>
      </c>
      <c r="I162" s="1" t="s">
        <v>34</v>
      </c>
      <c r="J162" s="1">
        <v>64.900000000000006</v>
      </c>
      <c r="K162" s="1" t="s">
        <v>44</v>
      </c>
      <c r="R162" s="1">
        <v>150.43786919288146</v>
      </c>
      <c r="S162" s="1" t="e">
        <v>#VALUE!</v>
      </c>
      <c r="T162" s="1">
        <v>-859.10604216266529</v>
      </c>
      <c r="V162" s="1" t="s">
        <v>22</v>
      </c>
      <c r="W162" s="1" t="s">
        <v>17</v>
      </c>
      <c r="X162" s="1">
        <v>712.8</v>
      </c>
      <c r="Y162" s="1" t="s">
        <v>34</v>
      </c>
      <c r="Z162" s="1">
        <v>58.410000000000011</v>
      </c>
      <c r="AA162" s="1" t="s">
        <v>67</v>
      </c>
    </row>
    <row r="163" spans="1:27" x14ac:dyDescent="0.25">
      <c r="A163" s="1">
        <f t="shared" si="4"/>
        <v>159</v>
      </c>
      <c r="B163" s="1">
        <v>219.35083041936934</v>
      </c>
      <c r="C163" s="1" t="s">
        <v>47</v>
      </c>
      <c r="D163" s="1">
        <v>-862.76928325762174</v>
      </c>
      <c r="F163" s="1" t="s">
        <v>22</v>
      </c>
      <c r="G163" s="1" t="s">
        <v>17</v>
      </c>
      <c r="H163" s="1">
        <v>715.4</v>
      </c>
      <c r="I163" s="1" t="s">
        <v>34</v>
      </c>
      <c r="J163" s="1">
        <v>65</v>
      </c>
      <c r="K163" s="1" t="s">
        <v>44</v>
      </c>
      <c r="R163" s="1">
        <v>151.99783041936934</v>
      </c>
      <c r="S163" s="1" t="e">
        <v>#VALUE!</v>
      </c>
      <c r="T163" s="1">
        <v>-862.76928325762174</v>
      </c>
      <c r="V163" s="1" t="s">
        <v>22</v>
      </c>
      <c r="W163" s="1" t="s">
        <v>17</v>
      </c>
      <c r="X163" s="1">
        <v>715.4</v>
      </c>
      <c r="Y163" s="1" t="s">
        <v>34</v>
      </c>
      <c r="Z163" s="1">
        <v>58.5</v>
      </c>
      <c r="AA163" s="1" t="s">
        <v>67</v>
      </c>
    </row>
    <row r="164" spans="1:27" x14ac:dyDescent="0.25">
      <c r="A164" s="1">
        <f t="shared" si="4"/>
        <v>160</v>
      </c>
      <c r="B164" s="1">
        <v>219.59082440729449</v>
      </c>
      <c r="C164" s="1" t="s">
        <v>47</v>
      </c>
      <c r="D164" s="1">
        <v>-863.33285870051236</v>
      </c>
      <c r="F164" s="1" t="s">
        <v>22</v>
      </c>
      <c r="G164" s="1" t="s">
        <v>17</v>
      </c>
      <c r="H164" s="1">
        <v>715.8</v>
      </c>
      <c r="I164" s="1" t="s">
        <v>34</v>
      </c>
      <c r="J164" s="1">
        <v>65</v>
      </c>
      <c r="K164" s="1" t="s">
        <v>44</v>
      </c>
      <c r="R164" s="1">
        <v>152.23782440729451</v>
      </c>
      <c r="S164" s="1" t="e">
        <v>#VALUE!</v>
      </c>
      <c r="T164" s="1">
        <v>-863.33285870051236</v>
      </c>
      <c r="V164" s="1" t="s">
        <v>22</v>
      </c>
      <c r="W164" s="1" t="s">
        <v>17</v>
      </c>
      <c r="X164" s="1">
        <v>715.8</v>
      </c>
      <c r="Y164" s="1" t="s">
        <v>34</v>
      </c>
      <c r="Z164" s="1">
        <v>58.5</v>
      </c>
      <c r="AA164" s="1" t="s">
        <v>67</v>
      </c>
    </row>
    <row r="165" spans="1:27" x14ac:dyDescent="0.25">
      <c r="A165" s="1">
        <f t="shared" si="4"/>
        <v>161</v>
      </c>
      <c r="B165" s="1">
        <v>232.4905070920077</v>
      </c>
      <c r="C165" s="1">
        <v>549.61799999999994</v>
      </c>
      <c r="D165" s="1">
        <v>22.404947544820004</v>
      </c>
      <c r="E165" s="1">
        <v>37.700000000000003</v>
      </c>
      <c r="F165" s="1" t="s">
        <v>26</v>
      </c>
      <c r="G165" s="1" t="s">
        <v>19</v>
      </c>
      <c r="H165" s="1">
        <v>737.3</v>
      </c>
      <c r="I165" s="1" t="s">
        <v>34</v>
      </c>
      <c r="J165" s="1">
        <v>66</v>
      </c>
      <c r="K165" s="1" t="s">
        <v>44</v>
      </c>
      <c r="R165" s="1">
        <v>165.1375070920077</v>
      </c>
      <c r="S165" s="1">
        <v>659.5415999999999</v>
      </c>
      <c r="T165" s="1">
        <v>22.404947544820004</v>
      </c>
      <c r="U165" s="1">
        <v>37.700000000000003</v>
      </c>
      <c r="V165" s="1" t="s">
        <v>26</v>
      </c>
      <c r="W165" s="1" t="s">
        <v>19</v>
      </c>
      <c r="X165" s="1">
        <v>737.3</v>
      </c>
      <c r="Y165" s="1" t="s">
        <v>34</v>
      </c>
      <c r="Z165" s="1">
        <v>59.4</v>
      </c>
      <c r="AA165" s="1" t="s">
        <v>67</v>
      </c>
    </row>
    <row r="166" spans="1:27" x14ac:dyDescent="0.25">
      <c r="A166" s="1">
        <f t="shared" si="4"/>
        <v>162</v>
      </c>
      <c r="B166" s="1">
        <v>236.4504182854636</v>
      </c>
      <c r="C166" s="1" t="s">
        <v>47</v>
      </c>
      <c r="D166" s="1">
        <v>-902.9240716679235</v>
      </c>
      <c r="F166" s="1" t="s">
        <v>22</v>
      </c>
      <c r="G166" s="1" t="s">
        <v>17</v>
      </c>
      <c r="H166" s="1">
        <v>743.9</v>
      </c>
      <c r="I166" s="1" t="s">
        <v>34</v>
      </c>
      <c r="J166" s="1">
        <v>66.2</v>
      </c>
      <c r="K166" s="1" t="s">
        <v>44</v>
      </c>
      <c r="R166" s="1">
        <v>169.09741828546362</v>
      </c>
      <c r="S166" s="1" t="e">
        <v>#VALUE!</v>
      </c>
      <c r="T166" s="1">
        <v>-902.9240716679235</v>
      </c>
      <c r="V166" s="1" t="s">
        <v>22</v>
      </c>
      <c r="W166" s="1" t="s">
        <v>17</v>
      </c>
      <c r="X166" s="1">
        <v>743.9</v>
      </c>
      <c r="Y166" s="1" t="s">
        <v>34</v>
      </c>
      <c r="Z166" s="1">
        <v>59.58</v>
      </c>
      <c r="AA166" s="1" t="s">
        <v>67</v>
      </c>
    </row>
    <row r="167" spans="1:27" x14ac:dyDescent="0.25">
      <c r="A167" s="1">
        <f t="shared" si="4"/>
        <v>163</v>
      </c>
      <c r="B167" s="1">
        <v>238.61037371682792</v>
      </c>
      <c r="C167" s="1" t="s">
        <v>47</v>
      </c>
      <c r="D167" s="1">
        <v>-907.9962730567122</v>
      </c>
      <c r="F167" s="1" t="s">
        <v>22</v>
      </c>
      <c r="G167" s="1" t="s">
        <v>17</v>
      </c>
      <c r="H167" s="1">
        <v>747.5</v>
      </c>
      <c r="I167" s="1" t="s">
        <v>34</v>
      </c>
      <c r="J167" s="1">
        <v>66.3</v>
      </c>
      <c r="K167" s="1" t="s">
        <v>44</v>
      </c>
      <c r="R167" s="1">
        <v>171.25737371682794</v>
      </c>
      <c r="S167" s="1" t="e">
        <v>#VALUE!</v>
      </c>
      <c r="T167" s="1">
        <v>-907.9962730567122</v>
      </c>
      <c r="V167" s="1" t="s">
        <v>22</v>
      </c>
      <c r="W167" s="1" t="s">
        <v>17</v>
      </c>
      <c r="X167" s="1">
        <v>747.5</v>
      </c>
      <c r="Y167" s="1" t="s">
        <v>34</v>
      </c>
      <c r="Z167" s="1">
        <v>59.67</v>
      </c>
      <c r="AA167" s="1" t="s">
        <v>67</v>
      </c>
    </row>
    <row r="168" spans="1:27" x14ac:dyDescent="0.25">
      <c r="A168" s="1">
        <f t="shared" si="4"/>
        <v>164</v>
      </c>
      <c r="B168" s="1">
        <v>238.9103677464058</v>
      </c>
      <c r="C168" s="1" t="s">
        <v>47</v>
      </c>
      <c r="D168" s="1">
        <v>-908.70074598766155</v>
      </c>
      <c r="F168" s="1" t="s">
        <v>22</v>
      </c>
      <c r="G168" s="1" t="s">
        <v>17</v>
      </c>
      <c r="H168" s="1">
        <v>748</v>
      </c>
      <c r="I168" s="1" t="s">
        <v>34</v>
      </c>
      <c r="J168" s="1">
        <v>66.3</v>
      </c>
      <c r="K168" s="1" t="s">
        <v>44</v>
      </c>
      <c r="R168" s="1">
        <v>171.55736774640582</v>
      </c>
      <c r="S168" s="1" t="e">
        <v>#VALUE!</v>
      </c>
      <c r="T168" s="1">
        <v>-908.70074598766155</v>
      </c>
      <c r="V168" s="1" t="s">
        <v>22</v>
      </c>
      <c r="W168" s="1" t="s">
        <v>17</v>
      </c>
      <c r="X168" s="1">
        <v>748</v>
      </c>
      <c r="Y168" s="1" t="s">
        <v>34</v>
      </c>
      <c r="Z168" s="1">
        <v>59.67</v>
      </c>
      <c r="AA168" s="1" t="s">
        <v>67</v>
      </c>
    </row>
    <row r="169" spans="1:27" x14ac:dyDescent="0.25">
      <c r="A169" s="1">
        <f t="shared" si="4"/>
        <v>165</v>
      </c>
      <c r="B169" s="1">
        <v>239.63035363332719</v>
      </c>
      <c r="C169" s="1" t="s">
        <v>47</v>
      </c>
      <c r="D169" s="1">
        <v>-910.39148152901657</v>
      </c>
      <c r="F169" s="1" t="s">
        <v>22</v>
      </c>
      <c r="G169" s="1" t="s">
        <v>17</v>
      </c>
      <c r="H169" s="1">
        <v>749.2</v>
      </c>
      <c r="I169" s="1" t="s">
        <v>34</v>
      </c>
      <c r="J169" s="1">
        <v>66.3</v>
      </c>
      <c r="K169" s="1" t="s">
        <v>44</v>
      </c>
      <c r="R169" s="1">
        <v>172.27735363332721</v>
      </c>
      <c r="S169" s="1" t="e">
        <v>#VALUE!</v>
      </c>
      <c r="T169" s="1">
        <v>-910.39148152901657</v>
      </c>
      <c r="V169" s="1" t="s">
        <v>22</v>
      </c>
      <c r="W169" s="1" t="s">
        <v>17</v>
      </c>
      <c r="X169" s="1">
        <v>749.2</v>
      </c>
      <c r="Y169" s="1" t="s">
        <v>34</v>
      </c>
      <c r="Z169" s="1">
        <v>59.67</v>
      </c>
      <c r="AA169" s="1" t="s">
        <v>67</v>
      </c>
    </row>
    <row r="170" spans="1:27" x14ac:dyDescent="0.25">
      <c r="A170" s="1">
        <f t="shared" si="4"/>
        <v>166</v>
      </c>
      <c r="B170" s="1">
        <v>244.13027218061458</v>
      </c>
      <c r="C170" s="1" t="s">
        <v>47</v>
      </c>
      <c r="D170" s="1">
        <v>-920.9585945229037</v>
      </c>
      <c r="F170" s="1" t="s">
        <v>22</v>
      </c>
      <c r="G170" s="1" t="s">
        <v>17</v>
      </c>
      <c r="H170" s="1">
        <v>756.7</v>
      </c>
      <c r="I170" s="1" t="s">
        <v>34</v>
      </c>
      <c r="J170" s="1">
        <v>66.400000000000006</v>
      </c>
      <c r="K170" s="1" t="s">
        <v>44</v>
      </c>
      <c r="R170" s="1">
        <v>176.7772721806146</v>
      </c>
      <c r="S170" s="1" t="e">
        <v>#VALUE!</v>
      </c>
      <c r="T170" s="1">
        <v>-920.9585945229037</v>
      </c>
      <c r="V170" s="1" t="s">
        <v>22</v>
      </c>
      <c r="W170" s="1" t="s">
        <v>17</v>
      </c>
      <c r="X170" s="1">
        <v>756.7</v>
      </c>
      <c r="Y170" s="1" t="s">
        <v>34</v>
      </c>
      <c r="Z170" s="1">
        <v>59.760000000000012</v>
      </c>
      <c r="AA170" s="1" t="s">
        <v>67</v>
      </c>
    </row>
    <row r="171" spans="1:27" x14ac:dyDescent="0.25">
      <c r="A171" s="1">
        <f t="shared" si="4"/>
        <v>167</v>
      </c>
      <c r="B171" s="1">
        <v>249.77016233796292</v>
      </c>
      <c r="C171" s="1" t="s">
        <v>47</v>
      </c>
      <c r="D171" s="1">
        <v>-934.20269126366293</v>
      </c>
      <c r="F171" s="1" t="s">
        <v>22</v>
      </c>
      <c r="G171" s="1" t="s">
        <v>17</v>
      </c>
      <c r="H171" s="1">
        <v>766.1</v>
      </c>
      <c r="I171" s="1" t="s">
        <v>34</v>
      </c>
      <c r="J171" s="1">
        <v>66.5</v>
      </c>
      <c r="K171" s="1" t="s">
        <v>44</v>
      </c>
      <c r="R171" s="1">
        <v>182.41716233796291</v>
      </c>
      <c r="S171" s="1" t="e">
        <v>#VALUE!</v>
      </c>
      <c r="T171" s="1">
        <v>-934.20269126366293</v>
      </c>
      <c r="V171" s="1" t="s">
        <v>22</v>
      </c>
      <c r="W171" s="1" t="s">
        <v>17</v>
      </c>
      <c r="X171" s="1">
        <v>766.1</v>
      </c>
      <c r="Y171" s="1" t="s">
        <v>34</v>
      </c>
      <c r="Z171" s="1">
        <v>59.85</v>
      </c>
      <c r="AA171" s="1" t="s">
        <v>67</v>
      </c>
    </row>
    <row r="172" spans="1:27" x14ac:dyDescent="0.25">
      <c r="A172" s="1">
        <f t="shared" si="4"/>
        <v>168</v>
      </c>
      <c r="B172" s="1">
        <v>255.76999455174905</v>
      </c>
      <c r="C172" s="1" t="s">
        <v>47</v>
      </c>
      <c r="D172" s="1">
        <v>-948.29203627762104</v>
      </c>
      <c r="F172" s="1" t="s">
        <v>22</v>
      </c>
      <c r="G172" s="1" t="s">
        <v>17</v>
      </c>
      <c r="H172" s="1">
        <v>776.1</v>
      </c>
      <c r="I172" s="1" t="s">
        <v>34</v>
      </c>
      <c r="J172" s="1">
        <v>66.599999999999994</v>
      </c>
      <c r="K172" s="1" t="s">
        <v>44</v>
      </c>
      <c r="R172" s="1">
        <v>188.41699455174904</v>
      </c>
      <c r="S172" s="1" t="e">
        <v>#VALUE!</v>
      </c>
      <c r="T172" s="1">
        <v>-948.29203627762104</v>
      </c>
      <c r="V172" s="1" t="s">
        <v>22</v>
      </c>
      <c r="W172" s="1" t="s">
        <v>17</v>
      </c>
      <c r="X172" s="1">
        <v>776.1</v>
      </c>
      <c r="Y172" s="1" t="s">
        <v>34</v>
      </c>
      <c r="Z172" s="1">
        <v>59.939999999999991</v>
      </c>
      <c r="AA172" s="1" t="s">
        <v>67</v>
      </c>
    </row>
    <row r="173" spans="1:27" x14ac:dyDescent="0.25">
      <c r="A173" s="1">
        <f t="shared" si="4"/>
        <v>169</v>
      </c>
      <c r="B173" s="1">
        <v>256.00998660543246</v>
      </c>
      <c r="C173" s="1" t="s">
        <v>47</v>
      </c>
      <c r="D173" s="1">
        <v>-948.85560717835142</v>
      </c>
      <c r="F173" s="1" t="s">
        <v>22</v>
      </c>
      <c r="G173" s="1" t="s">
        <v>17</v>
      </c>
      <c r="H173" s="1">
        <v>776.5</v>
      </c>
      <c r="I173" s="1" t="s">
        <v>34</v>
      </c>
      <c r="J173" s="1">
        <v>66.7</v>
      </c>
      <c r="K173" s="1" t="s">
        <v>44</v>
      </c>
      <c r="R173" s="1">
        <v>188.65698660543245</v>
      </c>
      <c r="S173" s="1" t="e">
        <v>#VALUE!</v>
      </c>
      <c r="T173" s="1">
        <v>-948.85560717835142</v>
      </c>
      <c r="V173" s="1" t="s">
        <v>22</v>
      </c>
      <c r="W173" s="1" t="s">
        <v>17</v>
      </c>
      <c r="X173" s="1">
        <v>776.5</v>
      </c>
      <c r="Y173" s="1" t="s">
        <v>34</v>
      </c>
      <c r="Z173" s="1">
        <v>60.03</v>
      </c>
      <c r="AA173" s="1" t="s">
        <v>67</v>
      </c>
    </row>
    <row r="174" spans="1:27" x14ac:dyDescent="0.25">
      <c r="A174" s="1">
        <f t="shared" si="4"/>
        <v>170</v>
      </c>
      <c r="B174" s="1">
        <v>272.62924808839972</v>
      </c>
      <c r="C174" s="1" t="s">
        <v>47</v>
      </c>
      <c r="D174" s="1">
        <v>-987.88245002450344</v>
      </c>
      <c r="F174" s="1" t="s">
        <v>22</v>
      </c>
      <c r="G174" s="1" t="s">
        <v>17</v>
      </c>
      <c r="H174" s="1">
        <v>804.2</v>
      </c>
      <c r="I174" s="1" t="s">
        <v>34</v>
      </c>
      <c r="J174" s="1">
        <v>67.599999999999994</v>
      </c>
      <c r="K174" s="1" t="s">
        <v>44</v>
      </c>
      <c r="R174" s="1">
        <v>205.27624808839971</v>
      </c>
      <c r="S174" s="1" t="e">
        <v>#VALUE!</v>
      </c>
      <c r="T174" s="1">
        <v>-987.88245002450344</v>
      </c>
      <c r="V174" s="1" t="s">
        <v>22</v>
      </c>
      <c r="W174" s="1" t="s">
        <v>17</v>
      </c>
      <c r="X174" s="1">
        <v>804.2</v>
      </c>
      <c r="Y174" s="1" t="s">
        <v>34</v>
      </c>
      <c r="Z174" s="1">
        <v>60.839999999999989</v>
      </c>
      <c r="AA174" s="1" t="s">
        <v>67</v>
      </c>
    </row>
    <row r="175" spans="1:27" x14ac:dyDescent="0.25">
      <c r="A175" s="1">
        <f t="shared" si="4"/>
        <v>171</v>
      </c>
      <c r="B175" s="1">
        <v>272.80923930115512</v>
      </c>
      <c r="C175" s="1" t="s">
        <v>47</v>
      </c>
      <c r="D175" s="1">
        <v>-988.30512156024474</v>
      </c>
      <c r="F175" s="1" t="s">
        <v>22</v>
      </c>
      <c r="G175" s="1" t="s">
        <v>17</v>
      </c>
      <c r="H175" s="1">
        <v>804.5</v>
      </c>
      <c r="I175" s="1" t="s">
        <v>34</v>
      </c>
      <c r="J175" s="1">
        <v>67.599999999999994</v>
      </c>
      <c r="K175" s="1" t="s">
        <v>44</v>
      </c>
      <c r="R175" s="1">
        <v>205.45623930115511</v>
      </c>
      <c r="S175" s="1" t="e">
        <v>#VALUE!</v>
      </c>
      <c r="T175" s="1">
        <v>-988.30512156024474</v>
      </c>
      <c r="V175" s="1" t="s">
        <v>22</v>
      </c>
      <c r="W175" s="1" t="s">
        <v>17</v>
      </c>
      <c r="X175" s="1">
        <v>804.5</v>
      </c>
      <c r="Y175" s="1" t="s">
        <v>34</v>
      </c>
      <c r="Z175" s="1">
        <v>60.839999999999989</v>
      </c>
      <c r="AA175" s="1" t="s">
        <v>67</v>
      </c>
    </row>
    <row r="176" spans="1:27" x14ac:dyDescent="0.25">
      <c r="A176" s="1">
        <f t="shared" si="4"/>
        <v>172</v>
      </c>
      <c r="B176" s="1">
        <v>288.64852231177946</v>
      </c>
      <c r="C176" s="1">
        <v>633.26400000000001</v>
      </c>
      <c r="D176" s="1">
        <v>29.939651113625644</v>
      </c>
      <c r="E176" s="1">
        <v>36.200000000000003</v>
      </c>
      <c r="F176" s="1" t="s">
        <v>26</v>
      </c>
      <c r="G176" s="1" t="s">
        <v>25</v>
      </c>
      <c r="H176" s="1">
        <v>830.9</v>
      </c>
      <c r="I176" s="1" t="s">
        <v>34</v>
      </c>
      <c r="J176" s="1">
        <v>67.8</v>
      </c>
      <c r="K176" s="1" t="s">
        <v>44</v>
      </c>
      <c r="R176" s="1">
        <v>221.29552231177945</v>
      </c>
      <c r="S176" s="1">
        <v>759.91679999999997</v>
      </c>
      <c r="T176" s="1">
        <v>29.939651113625644</v>
      </c>
      <c r="U176" s="1">
        <v>36.200000000000003</v>
      </c>
      <c r="V176" s="1" t="s">
        <v>26</v>
      </c>
      <c r="W176" s="1" t="s">
        <v>25</v>
      </c>
      <c r="X176" s="1">
        <v>830.9</v>
      </c>
      <c r="Y176" s="1" t="s">
        <v>34</v>
      </c>
      <c r="Z176" s="1">
        <v>61.02</v>
      </c>
      <c r="AA176" s="1" t="s">
        <v>67</v>
      </c>
    </row>
    <row r="177" spans="1:27" x14ac:dyDescent="0.25">
      <c r="A177" s="1">
        <f t="shared" si="4"/>
        <v>173</v>
      </c>
      <c r="B177" s="1">
        <v>288.64852231177946</v>
      </c>
      <c r="C177" s="1">
        <v>633.22199999999987</v>
      </c>
      <c r="D177" s="1">
        <v>29.86965111362548</v>
      </c>
      <c r="E177" s="1">
        <v>36.299999999999997</v>
      </c>
      <c r="F177" s="1" t="s">
        <v>26</v>
      </c>
      <c r="G177" s="1" t="s">
        <v>19</v>
      </c>
      <c r="H177" s="1">
        <v>830.9</v>
      </c>
      <c r="I177" s="1" t="s">
        <v>34</v>
      </c>
      <c r="J177" s="1">
        <v>67.900000000000006</v>
      </c>
      <c r="K177" s="1" t="s">
        <v>44</v>
      </c>
      <c r="R177" s="1">
        <v>221.29552231177945</v>
      </c>
      <c r="S177" s="1">
        <v>759.86639999999977</v>
      </c>
      <c r="T177" s="1">
        <v>29.86965111362548</v>
      </c>
      <c r="U177" s="1">
        <v>36.299999999999997</v>
      </c>
      <c r="V177" s="1" t="s">
        <v>26</v>
      </c>
      <c r="W177" s="1" t="s">
        <v>19</v>
      </c>
      <c r="X177" s="1">
        <v>830.9</v>
      </c>
      <c r="Y177" s="1" t="s">
        <v>34</v>
      </c>
      <c r="Z177" s="1">
        <v>61.110000000000007</v>
      </c>
      <c r="AA177" s="1" t="s">
        <v>67</v>
      </c>
    </row>
    <row r="178" spans="1:27" x14ac:dyDescent="0.25">
      <c r="A178" s="1">
        <f t="shared" si="4"/>
        <v>174</v>
      </c>
      <c r="B178" s="1">
        <v>296.20822740936183</v>
      </c>
      <c r="C178" s="1">
        <v>637.18200000000002</v>
      </c>
      <c r="D178" s="1">
        <v>18.717272458955961</v>
      </c>
      <c r="E178" s="1">
        <v>47.2</v>
      </c>
      <c r="F178" s="1" t="s">
        <v>24</v>
      </c>
      <c r="G178" s="1" t="s">
        <v>25</v>
      </c>
      <c r="H178" s="1">
        <v>843.5</v>
      </c>
      <c r="I178" s="1" t="s">
        <v>34</v>
      </c>
      <c r="J178" s="1">
        <v>68.400000000000006</v>
      </c>
      <c r="K178" s="1" t="s">
        <v>44</v>
      </c>
      <c r="R178" s="1">
        <v>228.85522740936182</v>
      </c>
      <c r="S178" s="1">
        <v>764.61839999999995</v>
      </c>
      <c r="T178" s="1">
        <v>18.717272458955961</v>
      </c>
      <c r="U178" s="1">
        <v>47.2</v>
      </c>
      <c r="V178" s="1" t="s">
        <v>24</v>
      </c>
      <c r="W178" s="1" t="s">
        <v>25</v>
      </c>
      <c r="X178" s="1">
        <v>843.5</v>
      </c>
      <c r="Y178" s="1" t="s">
        <v>34</v>
      </c>
      <c r="Z178" s="1">
        <v>61.560000000000009</v>
      </c>
      <c r="AA178" s="1" t="s">
        <v>67</v>
      </c>
    </row>
    <row r="179" spans="1:27" x14ac:dyDescent="0.25">
      <c r="A179" s="1">
        <f t="shared" si="4"/>
        <v>175</v>
      </c>
      <c r="B179" s="1">
        <v>296.20822740936183</v>
      </c>
      <c r="C179" s="1">
        <v>637.19999999999993</v>
      </c>
      <c r="D179" s="1">
        <v>18.747272458955933</v>
      </c>
      <c r="E179" s="1">
        <v>41.7</v>
      </c>
      <c r="F179" s="1" t="s">
        <v>26</v>
      </c>
      <c r="G179" s="1" t="s">
        <v>25</v>
      </c>
      <c r="H179" s="1">
        <v>843.5</v>
      </c>
      <c r="I179" s="1" t="s">
        <v>34</v>
      </c>
      <c r="J179" s="1">
        <v>68.400000000000006</v>
      </c>
      <c r="K179" s="1" t="s">
        <v>44</v>
      </c>
      <c r="R179" s="1">
        <v>228.85522740936182</v>
      </c>
      <c r="S179" s="1">
        <v>764.63999999999987</v>
      </c>
      <c r="T179" s="1">
        <v>18.747272458955933</v>
      </c>
      <c r="U179" s="1">
        <v>41.7</v>
      </c>
      <c r="V179" s="1" t="s">
        <v>26</v>
      </c>
      <c r="W179" s="1" t="s">
        <v>25</v>
      </c>
      <c r="X179" s="1">
        <v>843.5</v>
      </c>
      <c r="Y179" s="1" t="s">
        <v>34</v>
      </c>
      <c r="Z179" s="1">
        <v>61.560000000000009</v>
      </c>
      <c r="AA179" s="1" t="s">
        <v>67</v>
      </c>
    </row>
    <row r="180" spans="1:27" x14ac:dyDescent="0.25">
      <c r="A180" s="1">
        <f t="shared" si="4"/>
        <v>176</v>
      </c>
      <c r="B180" s="1">
        <v>297.16819408608575</v>
      </c>
      <c r="C180" s="1" t="s">
        <v>47</v>
      </c>
      <c r="D180" s="1">
        <v>-1045.5070075322726</v>
      </c>
      <c r="F180" s="1" t="s">
        <v>22</v>
      </c>
      <c r="G180" s="1" t="s">
        <v>17</v>
      </c>
      <c r="H180" s="1">
        <v>845.1</v>
      </c>
      <c r="I180" s="1" t="s">
        <v>34</v>
      </c>
      <c r="J180" s="1">
        <v>68.5</v>
      </c>
      <c r="K180" s="1" t="s">
        <v>44</v>
      </c>
      <c r="R180" s="1">
        <v>229.81519408608574</v>
      </c>
      <c r="S180" s="1" t="e">
        <v>#VALUE!</v>
      </c>
      <c r="T180" s="1">
        <v>-1045.5070075322726</v>
      </c>
      <c r="V180" s="1" t="s">
        <v>22</v>
      </c>
      <c r="W180" s="1" t="s">
        <v>17</v>
      </c>
      <c r="X180" s="1">
        <v>845.1</v>
      </c>
      <c r="Y180" s="1" t="s">
        <v>34</v>
      </c>
      <c r="Z180" s="1">
        <v>61.65</v>
      </c>
      <c r="AA180" s="1" t="s">
        <v>67</v>
      </c>
    </row>
    <row r="181" spans="1:27" x14ac:dyDescent="0.25">
      <c r="A181" s="1">
        <f t="shared" si="4"/>
        <v>177</v>
      </c>
      <c r="B181" s="1">
        <v>300.70807983011207</v>
      </c>
      <c r="C181" s="1" t="s">
        <v>47</v>
      </c>
      <c r="D181" s="1">
        <v>-1053.819685250656</v>
      </c>
      <c r="F181" s="1" t="s">
        <v>22</v>
      </c>
      <c r="G181" s="1" t="s">
        <v>17</v>
      </c>
      <c r="H181" s="1">
        <v>851</v>
      </c>
      <c r="I181" s="1" t="s">
        <v>34</v>
      </c>
      <c r="J181" s="1">
        <v>68.7</v>
      </c>
      <c r="K181" s="1" t="s">
        <v>44</v>
      </c>
      <c r="R181" s="1">
        <v>233.35507983011206</v>
      </c>
      <c r="S181" s="1" t="e">
        <v>#VALUE!</v>
      </c>
      <c r="T181" s="1">
        <v>-1053.819685250656</v>
      </c>
      <c r="V181" s="1" t="s">
        <v>22</v>
      </c>
      <c r="W181" s="1" t="s">
        <v>17</v>
      </c>
      <c r="X181" s="1">
        <v>851</v>
      </c>
      <c r="Y181" s="1" t="s">
        <v>34</v>
      </c>
      <c r="Z181" s="1">
        <v>61.83</v>
      </c>
      <c r="AA181" s="1" t="s">
        <v>67</v>
      </c>
    </row>
    <row r="182" spans="1:27" x14ac:dyDescent="0.25">
      <c r="A182" s="1">
        <f t="shared" si="4"/>
        <v>178</v>
      </c>
      <c r="B182" s="1">
        <v>301.96804214177416</v>
      </c>
      <c r="C182" s="1">
        <v>650.42399999999998</v>
      </c>
      <c r="D182" s="1">
        <v>27.261558057314971</v>
      </c>
      <c r="E182" s="1">
        <v>23.8</v>
      </c>
      <c r="F182" s="1" t="s">
        <v>24</v>
      </c>
      <c r="G182" s="1" t="s">
        <v>25</v>
      </c>
      <c r="H182" s="1">
        <v>853.1</v>
      </c>
      <c r="I182" s="1" t="s">
        <v>34</v>
      </c>
      <c r="J182" s="1">
        <v>68.900000000000006</v>
      </c>
      <c r="K182" s="1" t="s">
        <v>44</v>
      </c>
      <c r="R182" s="1">
        <v>234.61504214177415</v>
      </c>
      <c r="S182" s="1">
        <v>780.50879999999995</v>
      </c>
      <c r="T182" s="1">
        <v>27.261558057314971</v>
      </c>
      <c r="U182" s="1">
        <v>23.8</v>
      </c>
      <c r="V182" s="1" t="s">
        <v>24</v>
      </c>
      <c r="W182" s="1" t="s">
        <v>25</v>
      </c>
      <c r="X182" s="1">
        <v>853.1</v>
      </c>
      <c r="Y182" s="1" t="s">
        <v>34</v>
      </c>
      <c r="Z182" s="1">
        <v>62.010000000000012</v>
      </c>
      <c r="AA182" s="1" t="s">
        <v>67</v>
      </c>
    </row>
    <row r="183" spans="1:27" x14ac:dyDescent="0.25">
      <c r="A183" s="1">
        <f t="shared" si="4"/>
        <v>179</v>
      </c>
      <c r="B183" s="1">
        <v>301.96804214177416</v>
      </c>
      <c r="C183" s="1">
        <v>650.4</v>
      </c>
      <c r="D183" s="1">
        <v>27.221558057315008</v>
      </c>
      <c r="E183" s="1">
        <v>23.6</v>
      </c>
      <c r="F183" s="1" t="s">
        <v>26</v>
      </c>
      <c r="G183" s="1" t="s">
        <v>19</v>
      </c>
      <c r="H183" s="1">
        <v>853.1</v>
      </c>
      <c r="I183" s="1" t="s">
        <v>34</v>
      </c>
      <c r="J183" s="1">
        <v>69</v>
      </c>
      <c r="K183" s="1" t="s">
        <v>44</v>
      </c>
      <c r="R183" s="1">
        <v>234.61504214177415</v>
      </c>
      <c r="S183" s="1">
        <v>780.4799999999999</v>
      </c>
      <c r="T183" s="1">
        <v>27.221558057315008</v>
      </c>
      <c r="U183" s="1">
        <v>23.6</v>
      </c>
      <c r="V183" s="1" t="s">
        <v>26</v>
      </c>
      <c r="W183" s="1" t="s">
        <v>19</v>
      </c>
      <c r="X183" s="1">
        <v>853.1</v>
      </c>
      <c r="Y183" s="1" t="s">
        <v>34</v>
      </c>
      <c r="Z183" s="1">
        <v>62.1</v>
      </c>
      <c r="AA183" s="1" t="s">
        <v>67</v>
      </c>
    </row>
    <row r="184" spans="1:27" x14ac:dyDescent="0.25">
      <c r="A184" s="1">
        <f t="shared" si="4"/>
        <v>180</v>
      </c>
      <c r="B184" s="1">
        <v>303.70798737571675</v>
      </c>
      <c r="C184" s="1">
        <v>652.38599999999997</v>
      </c>
      <c r="D184" s="1">
        <v>26.445662346751476</v>
      </c>
      <c r="E184" s="1">
        <v>19.100000000000001</v>
      </c>
      <c r="F184" s="1" t="s">
        <v>26</v>
      </c>
      <c r="G184" s="1" t="s">
        <v>25</v>
      </c>
      <c r="H184" s="1">
        <v>856</v>
      </c>
      <c r="I184" s="1" t="s">
        <v>34</v>
      </c>
      <c r="J184" s="1">
        <v>69.099999999999994</v>
      </c>
      <c r="K184" s="1" t="s">
        <v>44</v>
      </c>
      <c r="R184" s="1">
        <v>236.35498737571675</v>
      </c>
      <c r="S184" s="1">
        <v>782.86319999999989</v>
      </c>
      <c r="T184" s="1">
        <v>26.445662346751476</v>
      </c>
      <c r="U184" s="1">
        <v>19.100000000000001</v>
      </c>
      <c r="V184" s="1" t="s">
        <v>26</v>
      </c>
      <c r="W184" s="1" t="s">
        <v>25</v>
      </c>
      <c r="X184" s="1">
        <v>856</v>
      </c>
      <c r="Y184" s="1" t="s">
        <v>34</v>
      </c>
      <c r="Z184" s="1">
        <v>62.189999999999991</v>
      </c>
      <c r="AA184" s="1" t="s">
        <v>67</v>
      </c>
    </row>
    <row r="185" spans="1:27" x14ac:dyDescent="0.25">
      <c r="A185" s="1">
        <f t="shared" si="4"/>
        <v>181</v>
      </c>
      <c r="B185" s="1">
        <v>303.70798737571675</v>
      </c>
      <c r="C185" s="1">
        <v>652.27800000000002</v>
      </c>
      <c r="D185" s="1">
        <v>26.26566234675164</v>
      </c>
      <c r="E185" s="1">
        <v>22.8</v>
      </c>
      <c r="F185" s="1" t="s">
        <v>24</v>
      </c>
      <c r="G185" s="1" t="s">
        <v>19</v>
      </c>
      <c r="H185" s="1">
        <v>856</v>
      </c>
      <c r="I185" s="1" t="s">
        <v>34</v>
      </c>
      <c r="J185" s="1">
        <v>69.099999999999994</v>
      </c>
      <c r="K185" s="1" t="s">
        <v>44</v>
      </c>
      <c r="R185" s="1">
        <v>236.35498737571675</v>
      </c>
      <c r="S185" s="1">
        <v>782.73360000000002</v>
      </c>
      <c r="T185" s="1">
        <v>26.26566234675164</v>
      </c>
      <c r="U185" s="1">
        <v>22.8</v>
      </c>
      <c r="V185" s="1" t="s">
        <v>24</v>
      </c>
      <c r="W185" s="1" t="s">
        <v>19</v>
      </c>
      <c r="X185" s="1">
        <v>856</v>
      </c>
      <c r="Y185" s="1" t="s">
        <v>34</v>
      </c>
      <c r="Z185" s="1">
        <v>62.189999999999991</v>
      </c>
      <c r="AA185" s="1" t="s">
        <v>67</v>
      </c>
    </row>
    <row r="186" spans="1:27" x14ac:dyDescent="0.25">
      <c r="A186" s="1">
        <f t="shared" si="4"/>
        <v>182</v>
      </c>
      <c r="B186" s="1">
        <v>303.70798737571675</v>
      </c>
      <c r="C186" s="1">
        <v>652.28399999999999</v>
      </c>
      <c r="D186" s="1">
        <v>26.275662346751631</v>
      </c>
      <c r="E186" s="1">
        <v>24</v>
      </c>
      <c r="F186" s="1" t="s">
        <v>26</v>
      </c>
      <c r="G186" s="1" t="s">
        <v>25</v>
      </c>
      <c r="H186" s="1">
        <v>856</v>
      </c>
      <c r="I186" s="1" t="s">
        <v>34</v>
      </c>
      <c r="J186" s="1">
        <v>69.2</v>
      </c>
      <c r="K186" s="1" t="s">
        <v>44</v>
      </c>
      <c r="R186" s="1">
        <v>236.35498737571675</v>
      </c>
      <c r="S186" s="1">
        <v>782.74079999999992</v>
      </c>
      <c r="T186" s="1">
        <v>26.275662346751631</v>
      </c>
      <c r="U186" s="1">
        <v>24</v>
      </c>
      <c r="V186" s="1" t="s">
        <v>26</v>
      </c>
      <c r="W186" s="1" t="s">
        <v>25</v>
      </c>
      <c r="X186" s="1">
        <v>856</v>
      </c>
      <c r="Y186" s="1" t="s">
        <v>34</v>
      </c>
      <c r="Z186" s="1">
        <v>62.28</v>
      </c>
      <c r="AA186" s="1" t="s">
        <v>67</v>
      </c>
    </row>
    <row r="187" spans="1:27" x14ac:dyDescent="0.25">
      <c r="A187" s="1">
        <f t="shared" si="4"/>
        <v>183</v>
      </c>
      <c r="B187" s="1">
        <v>306.82788465722854</v>
      </c>
      <c r="C187" s="1">
        <v>666.04199999999992</v>
      </c>
      <c r="D187" s="1">
        <v>41.879239266731531</v>
      </c>
      <c r="E187" s="1">
        <v>23.4</v>
      </c>
      <c r="F187" s="1" t="s">
        <v>26</v>
      </c>
      <c r="G187" s="1" t="s">
        <v>25</v>
      </c>
      <c r="H187" s="1">
        <v>861.2</v>
      </c>
      <c r="I187" s="1" t="s">
        <v>34</v>
      </c>
      <c r="J187" s="1">
        <v>69.5</v>
      </c>
      <c r="K187" s="1" t="s">
        <v>44</v>
      </c>
      <c r="R187" s="1">
        <v>239.47488465722853</v>
      </c>
      <c r="S187" s="1">
        <v>799.2503999999999</v>
      </c>
      <c r="T187" s="1">
        <v>41.879239266731531</v>
      </c>
      <c r="U187" s="1">
        <v>23.4</v>
      </c>
      <c r="V187" s="1" t="s">
        <v>26</v>
      </c>
      <c r="W187" s="1" t="s">
        <v>25</v>
      </c>
      <c r="X187" s="1">
        <v>861.2</v>
      </c>
      <c r="Y187" s="1" t="s">
        <v>34</v>
      </c>
      <c r="Z187" s="1">
        <v>62.55</v>
      </c>
      <c r="AA187" s="1" t="s">
        <v>67</v>
      </c>
    </row>
    <row r="188" spans="1:27" x14ac:dyDescent="0.25">
      <c r="A188" s="1">
        <f t="shared" si="4"/>
        <v>184</v>
      </c>
      <c r="B188" s="1">
        <v>306.82788465722854</v>
      </c>
      <c r="C188" s="1">
        <v>665.96400000000006</v>
      </c>
      <c r="D188" s="1">
        <v>41.749239266731649</v>
      </c>
      <c r="E188" s="1">
        <v>23.2</v>
      </c>
      <c r="F188" s="1" t="s">
        <v>24</v>
      </c>
      <c r="G188" s="1" t="s">
        <v>19</v>
      </c>
      <c r="H188" s="1">
        <v>861.2</v>
      </c>
      <c r="I188" s="1" t="s">
        <v>34</v>
      </c>
      <c r="J188" s="1">
        <v>69.5</v>
      </c>
      <c r="K188" s="1" t="s">
        <v>44</v>
      </c>
      <c r="R188" s="1">
        <v>239.47488465722853</v>
      </c>
      <c r="S188" s="1">
        <v>799.15680000000009</v>
      </c>
      <c r="T188" s="1">
        <v>41.749239266731649</v>
      </c>
      <c r="U188" s="1">
        <v>23.2</v>
      </c>
      <c r="V188" s="1" t="s">
        <v>24</v>
      </c>
      <c r="W188" s="1" t="s">
        <v>19</v>
      </c>
      <c r="X188" s="1">
        <v>861.2</v>
      </c>
      <c r="Y188" s="1" t="s">
        <v>34</v>
      </c>
      <c r="Z188" s="1">
        <v>62.55</v>
      </c>
      <c r="AA188" s="1" t="s">
        <v>67</v>
      </c>
    </row>
    <row r="189" spans="1:27" x14ac:dyDescent="0.25">
      <c r="A189" s="1">
        <f t="shared" si="4"/>
        <v>185</v>
      </c>
      <c r="B189" s="1">
        <v>306.82788465722854</v>
      </c>
      <c r="C189" s="1">
        <v>665.928</v>
      </c>
      <c r="D189" s="1">
        <v>41.689239266731704</v>
      </c>
      <c r="E189" s="1">
        <v>23.8</v>
      </c>
      <c r="F189" s="1" t="s">
        <v>26</v>
      </c>
      <c r="G189" s="1" t="s">
        <v>25</v>
      </c>
      <c r="H189" s="1">
        <v>861.2</v>
      </c>
      <c r="I189" s="1" t="s">
        <v>34</v>
      </c>
      <c r="J189" s="1">
        <v>69.599999999999994</v>
      </c>
      <c r="K189" s="1" t="s">
        <v>44</v>
      </c>
      <c r="R189" s="1">
        <v>239.47488465722853</v>
      </c>
      <c r="S189" s="1">
        <v>799.11360000000002</v>
      </c>
      <c r="T189" s="1">
        <v>41.689239266731704</v>
      </c>
      <c r="U189" s="1">
        <v>23.8</v>
      </c>
      <c r="V189" s="1" t="s">
        <v>26</v>
      </c>
      <c r="W189" s="1" t="s">
        <v>25</v>
      </c>
      <c r="X189" s="1">
        <v>861.2</v>
      </c>
      <c r="Y189" s="1" t="s">
        <v>34</v>
      </c>
      <c r="Z189" s="1">
        <v>62.639999999999993</v>
      </c>
      <c r="AA189" s="1" t="s">
        <v>67</v>
      </c>
    </row>
    <row r="190" spans="1:27" x14ac:dyDescent="0.25">
      <c r="A190" s="1">
        <f t="shared" si="4"/>
        <v>186</v>
      </c>
      <c r="B190" s="1">
        <v>309.82778052603118</v>
      </c>
      <c r="C190" s="1">
        <v>670.21799999999996</v>
      </c>
      <c r="D190" s="1">
        <v>41.794614284654529</v>
      </c>
      <c r="E190" s="1">
        <v>21.7</v>
      </c>
      <c r="F190" s="1" t="s">
        <v>26</v>
      </c>
      <c r="G190" s="1" t="s">
        <v>25</v>
      </c>
      <c r="H190" s="1">
        <v>866.2</v>
      </c>
      <c r="I190" s="1" t="s">
        <v>34</v>
      </c>
      <c r="J190" s="1">
        <v>69.7</v>
      </c>
      <c r="K190" s="1" t="s">
        <v>44</v>
      </c>
      <c r="R190" s="1">
        <v>242.47478052603117</v>
      </c>
      <c r="S190" s="1">
        <v>804.26159999999993</v>
      </c>
      <c r="T190" s="1">
        <v>41.794614284654529</v>
      </c>
      <c r="U190" s="1">
        <v>21.7</v>
      </c>
      <c r="V190" s="1" t="s">
        <v>26</v>
      </c>
      <c r="W190" s="1" t="s">
        <v>25</v>
      </c>
      <c r="X190" s="1">
        <v>866.2</v>
      </c>
      <c r="Y190" s="1" t="s">
        <v>34</v>
      </c>
      <c r="Z190" s="1">
        <v>62.73</v>
      </c>
      <c r="AA190" s="1" t="s">
        <v>67</v>
      </c>
    </row>
    <row r="191" spans="1:27" x14ac:dyDescent="0.25">
      <c r="A191" s="1">
        <f t="shared" si="4"/>
        <v>187</v>
      </c>
      <c r="B191" s="1">
        <v>312.58768020560115</v>
      </c>
      <c r="C191" s="1" t="s">
        <v>47</v>
      </c>
      <c r="D191" s="1">
        <v>-1081.7164300852239</v>
      </c>
      <c r="F191" s="1" t="s">
        <v>22</v>
      </c>
      <c r="G191" s="1" t="s">
        <v>17</v>
      </c>
      <c r="H191" s="1">
        <v>870.8</v>
      </c>
      <c r="I191" s="1" t="s">
        <v>34</v>
      </c>
      <c r="J191" s="1">
        <v>69.7</v>
      </c>
      <c r="K191" s="1" t="s">
        <v>44</v>
      </c>
      <c r="R191" s="1">
        <v>245.23468020560114</v>
      </c>
      <c r="S191" s="1" t="e">
        <v>#VALUE!</v>
      </c>
      <c r="T191" s="1">
        <v>-1081.7164300852239</v>
      </c>
      <c r="V191" s="1" t="s">
        <v>22</v>
      </c>
      <c r="W191" s="1" t="s">
        <v>17</v>
      </c>
      <c r="X191" s="1">
        <v>870.8</v>
      </c>
      <c r="Y191" s="1" t="s">
        <v>34</v>
      </c>
      <c r="Z191" s="1">
        <v>62.73</v>
      </c>
      <c r="AA191" s="1" t="s">
        <v>67</v>
      </c>
    </row>
    <row r="192" spans="1:27" x14ac:dyDescent="0.25">
      <c r="A192" s="1">
        <f t="shared" si="4"/>
        <v>188</v>
      </c>
      <c r="B192" s="1">
        <v>316.1275392055706</v>
      </c>
      <c r="C192" s="1" t="s">
        <v>47</v>
      </c>
      <c r="D192" s="1">
        <v>-1090.0290450008101</v>
      </c>
      <c r="F192" s="1" t="s">
        <v>22</v>
      </c>
      <c r="G192" s="1" t="s">
        <v>17</v>
      </c>
      <c r="H192" s="1">
        <v>876.7</v>
      </c>
      <c r="I192" s="1" t="s">
        <v>34</v>
      </c>
      <c r="J192" s="1">
        <v>69.8</v>
      </c>
      <c r="K192" s="1" t="s">
        <v>44</v>
      </c>
      <c r="R192" s="1">
        <v>248.77453920557059</v>
      </c>
      <c r="S192" s="1" t="e">
        <v>#VALUE!</v>
      </c>
      <c r="T192" s="1">
        <v>-1090.0290450008101</v>
      </c>
      <c r="V192" s="1" t="s">
        <v>22</v>
      </c>
      <c r="W192" s="1" t="s">
        <v>17</v>
      </c>
      <c r="X192" s="1">
        <v>876.7</v>
      </c>
      <c r="Y192" s="1" t="s">
        <v>34</v>
      </c>
      <c r="Z192" s="1">
        <v>62.82</v>
      </c>
      <c r="AA192" s="1" t="s">
        <v>67</v>
      </c>
    </row>
    <row r="193" spans="1:27" x14ac:dyDescent="0.25">
      <c r="A193" s="1">
        <f t="shared" si="4"/>
        <v>189</v>
      </c>
      <c r="B193" s="1">
        <v>318.52743267671269</v>
      </c>
      <c r="C193" s="1" t="s">
        <v>47</v>
      </c>
      <c r="D193" s="1">
        <v>-1095.6646904500233</v>
      </c>
      <c r="F193" s="1" t="s">
        <v>22</v>
      </c>
      <c r="G193" s="1" t="s">
        <v>17</v>
      </c>
      <c r="H193" s="1">
        <v>880.7</v>
      </c>
      <c r="I193" s="1" t="s">
        <v>34</v>
      </c>
      <c r="J193" s="1">
        <v>69.900000000000006</v>
      </c>
      <c r="K193" s="1" t="s">
        <v>44</v>
      </c>
      <c r="R193" s="1">
        <v>251.17443267671268</v>
      </c>
      <c r="S193" s="1" t="e">
        <v>#VALUE!</v>
      </c>
      <c r="T193" s="1">
        <v>-1095.6646904500233</v>
      </c>
      <c r="V193" s="1" t="s">
        <v>22</v>
      </c>
      <c r="W193" s="1" t="s">
        <v>17</v>
      </c>
      <c r="X193" s="1">
        <v>880.7</v>
      </c>
      <c r="Y193" s="1" t="s">
        <v>34</v>
      </c>
      <c r="Z193" s="1">
        <v>62.910000000000011</v>
      </c>
      <c r="AA193" s="1" t="s">
        <v>67</v>
      </c>
    </row>
    <row r="194" spans="1:27" x14ac:dyDescent="0.25">
      <c r="A194" s="1">
        <f t="shared" si="4"/>
        <v>190</v>
      </c>
      <c r="B194" s="1">
        <v>318.22744648209914</v>
      </c>
      <c r="C194" s="1" t="s">
        <v>47</v>
      </c>
      <c r="D194" s="1">
        <v>-1094.9602359178411</v>
      </c>
      <c r="F194" s="1" t="s">
        <v>22</v>
      </c>
      <c r="G194" s="1" t="s">
        <v>17</v>
      </c>
      <c r="H194" s="1">
        <v>880.2</v>
      </c>
      <c r="I194" s="1" t="s">
        <v>34</v>
      </c>
      <c r="J194" s="1">
        <v>69.900000000000006</v>
      </c>
      <c r="K194" s="1" t="s">
        <v>44</v>
      </c>
      <c r="R194" s="1">
        <v>250.87444648209913</v>
      </c>
      <c r="S194" s="1" t="e">
        <v>#VALUE!</v>
      </c>
      <c r="T194" s="1">
        <v>-1094.9602359178411</v>
      </c>
      <c r="V194" s="1" t="s">
        <v>22</v>
      </c>
      <c r="W194" s="1" t="s">
        <v>17</v>
      </c>
      <c r="X194" s="1">
        <v>880.2</v>
      </c>
      <c r="Y194" s="1" t="s">
        <v>34</v>
      </c>
      <c r="Z194" s="1">
        <v>62.910000000000011</v>
      </c>
      <c r="AA194" s="1" t="s">
        <v>67</v>
      </c>
    </row>
    <row r="195" spans="1:27" x14ac:dyDescent="0.25">
      <c r="A195" s="1">
        <f t="shared" si="4"/>
        <v>191</v>
      </c>
      <c r="B195" s="1">
        <v>344.42127885418194</v>
      </c>
      <c r="C195" s="1" t="s">
        <v>47</v>
      </c>
      <c r="D195" s="1">
        <v>-1156.4709462807184</v>
      </c>
      <c r="E195" s="1">
        <v>114.55</v>
      </c>
      <c r="F195" s="1" t="s">
        <v>29</v>
      </c>
      <c r="G195" s="1" t="s">
        <v>17</v>
      </c>
      <c r="H195" s="1">
        <v>923.86</v>
      </c>
      <c r="I195" s="1" t="s">
        <v>34</v>
      </c>
      <c r="J195" s="1">
        <v>71.099999999999994</v>
      </c>
      <c r="K195" s="1" t="s">
        <v>44</v>
      </c>
      <c r="R195" s="1">
        <v>277.06827885418193</v>
      </c>
      <c r="S195" s="1" t="e">
        <v>#VALUE!</v>
      </c>
      <c r="T195" s="1">
        <v>-1156.4709462807184</v>
      </c>
      <c r="U195" s="1">
        <v>114.55</v>
      </c>
      <c r="V195" s="1" t="s">
        <v>29</v>
      </c>
      <c r="W195" s="1" t="s">
        <v>17</v>
      </c>
      <c r="X195" s="1">
        <v>923.86</v>
      </c>
      <c r="Y195" s="1" t="s">
        <v>34</v>
      </c>
      <c r="Z195" s="1">
        <v>63.989999999999988</v>
      </c>
      <c r="AA195" s="1" t="s">
        <v>67</v>
      </c>
    </row>
    <row r="196" spans="1:27" x14ac:dyDescent="0.25">
      <c r="A196" s="1">
        <f t="shared" si="4"/>
        <v>192</v>
      </c>
      <c r="B196" s="1">
        <v>344.42127885418194</v>
      </c>
      <c r="C196" s="1" t="s">
        <v>47</v>
      </c>
      <c r="D196" s="1">
        <v>-1156.4709462807184</v>
      </c>
      <c r="E196" s="1">
        <v>118.73</v>
      </c>
      <c r="F196" s="1" t="s">
        <v>28</v>
      </c>
      <c r="G196" s="1" t="s">
        <v>17</v>
      </c>
      <c r="H196" s="1">
        <v>923.86</v>
      </c>
      <c r="I196" s="1" t="s">
        <v>34</v>
      </c>
      <c r="J196" s="1">
        <v>71.3</v>
      </c>
      <c r="K196" s="1" t="s">
        <v>44</v>
      </c>
      <c r="R196" s="1">
        <v>277.06827885418193</v>
      </c>
      <c r="S196" s="1" t="e">
        <v>#VALUE!</v>
      </c>
      <c r="T196" s="1">
        <v>-1156.4709462807184</v>
      </c>
      <c r="U196" s="1">
        <v>118.73</v>
      </c>
      <c r="V196" s="1" t="s">
        <v>28</v>
      </c>
      <c r="W196" s="1" t="s">
        <v>17</v>
      </c>
      <c r="X196" s="1">
        <v>923.86</v>
      </c>
      <c r="Y196" s="1" t="s">
        <v>34</v>
      </c>
      <c r="Z196" s="1">
        <v>64.17</v>
      </c>
      <c r="AA196" s="1" t="s">
        <v>67</v>
      </c>
    </row>
    <row r="197" spans="1:27" x14ac:dyDescent="0.25">
      <c r="A197" s="1">
        <f t="shared" si="4"/>
        <v>193</v>
      </c>
      <c r="B197" s="1">
        <v>361.14742119770716</v>
      </c>
      <c r="C197" s="1" t="s">
        <v>47</v>
      </c>
      <c r="D197" s="1">
        <v>-1195.7487763655352</v>
      </c>
      <c r="F197" s="1" t="s">
        <v>22</v>
      </c>
      <c r="G197" s="1" t="s">
        <v>17</v>
      </c>
      <c r="H197" s="1">
        <v>951.74</v>
      </c>
      <c r="I197" s="1" t="s">
        <v>34</v>
      </c>
      <c r="J197" s="1">
        <v>71.7</v>
      </c>
      <c r="K197" s="1" t="s">
        <v>44</v>
      </c>
      <c r="R197" s="1">
        <v>293.79442119770715</v>
      </c>
      <c r="S197" s="1" t="e">
        <v>#VALUE!</v>
      </c>
      <c r="T197" s="1">
        <v>-1195.7487763655352</v>
      </c>
      <c r="V197" s="1" t="s">
        <v>22</v>
      </c>
      <c r="W197" s="1" t="s">
        <v>17</v>
      </c>
      <c r="X197" s="1">
        <v>951.74</v>
      </c>
      <c r="Y197" s="1" t="s">
        <v>34</v>
      </c>
      <c r="Z197" s="1">
        <v>64.53</v>
      </c>
      <c r="AA197" s="1" t="s">
        <v>67</v>
      </c>
    </row>
    <row r="198" spans="1:27" x14ac:dyDescent="0.25">
      <c r="A198" s="1">
        <f t="shared" ref="A198:A261" si="5">1+A197</f>
        <v>194</v>
      </c>
      <c r="B198" s="1">
        <v>360.82344315653012</v>
      </c>
      <c r="C198" s="1" t="s">
        <v>47</v>
      </c>
      <c r="D198" s="1">
        <v>-1194.9879820238864</v>
      </c>
      <c r="F198" s="1" t="s">
        <v>22</v>
      </c>
      <c r="G198" s="1" t="s">
        <v>17</v>
      </c>
      <c r="H198" s="1">
        <v>951.2</v>
      </c>
      <c r="I198" s="1" t="s">
        <v>34</v>
      </c>
      <c r="J198" s="1">
        <v>72</v>
      </c>
      <c r="K198" s="1" t="s">
        <v>44</v>
      </c>
      <c r="R198" s="1">
        <v>293.47044315653011</v>
      </c>
      <c r="S198" s="1" t="e">
        <v>#VALUE!</v>
      </c>
      <c r="T198" s="1">
        <v>-1194.9879820238864</v>
      </c>
      <c r="V198" s="1" t="s">
        <v>22</v>
      </c>
      <c r="W198" s="1" t="s">
        <v>17</v>
      </c>
      <c r="X198" s="1">
        <v>951.2</v>
      </c>
      <c r="Y198" s="1" t="s">
        <v>34</v>
      </c>
      <c r="Z198" s="1">
        <v>64.8</v>
      </c>
      <c r="AA198" s="1" t="s">
        <v>67</v>
      </c>
    </row>
    <row r="199" spans="1:27" x14ac:dyDescent="0.25">
      <c r="A199" s="1">
        <f t="shared" si="5"/>
        <v>195</v>
      </c>
      <c r="B199" s="1">
        <v>363.4032770233527</v>
      </c>
      <c r="C199" s="1" t="s">
        <v>47</v>
      </c>
      <c r="D199" s="1">
        <v>-1201.0461796756206</v>
      </c>
      <c r="F199" s="1" t="s">
        <v>22</v>
      </c>
      <c r="G199" s="1" t="s">
        <v>17</v>
      </c>
      <c r="H199" s="1">
        <v>955.5</v>
      </c>
      <c r="I199" s="1" t="s">
        <v>34</v>
      </c>
      <c r="J199" s="1">
        <v>72.42</v>
      </c>
      <c r="K199" s="1" t="s">
        <v>44</v>
      </c>
      <c r="R199" s="1">
        <v>296.05027702335269</v>
      </c>
      <c r="S199" s="1" t="e">
        <v>#VALUE!</v>
      </c>
      <c r="T199" s="1">
        <v>-1201.0461796756206</v>
      </c>
      <c r="V199" s="1" t="s">
        <v>22</v>
      </c>
      <c r="W199" s="1" t="s">
        <v>17</v>
      </c>
      <c r="X199" s="1">
        <v>955.5</v>
      </c>
      <c r="Y199" s="1" t="s">
        <v>34</v>
      </c>
      <c r="Z199" s="1">
        <v>65.177999999999997</v>
      </c>
      <c r="AA199" s="1" t="s">
        <v>67</v>
      </c>
    </row>
    <row r="200" spans="1:27" x14ac:dyDescent="0.25">
      <c r="A200" s="1">
        <f t="shared" si="5"/>
        <v>196</v>
      </c>
      <c r="B200" s="1">
        <v>366.98507811064343</v>
      </c>
      <c r="C200" s="1" t="s">
        <v>47</v>
      </c>
      <c r="D200" s="1">
        <v>-1209.4572867686243</v>
      </c>
      <c r="F200" s="1" t="s">
        <v>22</v>
      </c>
      <c r="G200" s="1" t="s">
        <v>17</v>
      </c>
      <c r="H200" s="1">
        <v>961.47</v>
      </c>
      <c r="I200" s="1" t="s">
        <v>34</v>
      </c>
      <c r="J200" s="1">
        <v>72.53</v>
      </c>
      <c r="K200" s="1" t="s">
        <v>44</v>
      </c>
      <c r="R200" s="1">
        <v>299.63207811064342</v>
      </c>
      <c r="S200" s="1" t="e">
        <v>#VALUE!</v>
      </c>
      <c r="T200" s="1">
        <v>-1209.4572867686243</v>
      </c>
      <c r="V200" s="1" t="s">
        <v>22</v>
      </c>
      <c r="W200" s="1" t="s">
        <v>17</v>
      </c>
      <c r="X200" s="1">
        <v>961.47</v>
      </c>
      <c r="Y200" s="1" t="s">
        <v>34</v>
      </c>
      <c r="Z200" s="1">
        <v>65.277000000000001</v>
      </c>
      <c r="AA200" s="1" t="s">
        <v>67</v>
      </c>
    </row>
    <row r="201" spans="1:27" x14ac:dyDescent="0.25">
      <c r="A201" s="1">
        <f t="shared" si="5"/>
        <v>197</v>
      </c>
      <c r="B201" s="1">
        <v>366.88308328712088</v>
      </c>
      <c r="C201" s="1" t="s">
        <v>47</v>
      </c>
      <c r="D201" s="1">
        <v>-1209.2177733610754</v>
      </c>
      <c r="F201" s="1" t="s">
        <v>22</v>
      </c>
      <c r="G201" s="1" t="s">
        <v>17</v>
      </c>
      <c r="H201" s="1">
        <v>961.3</v>
      </c>
      <c r="I201" s="1" t="s">
        <v>34</v>
      </c>
      <c r="J201" s="1">
        <v>72.680000000000007</v>
      </c>
      <c r="K201" s="1" t="s">
        <v>44</v>
      </c>
      <c r="R201" s="1">
        <v>299.53008328712087</v>
      </c>
      <c r="S201" s="1" t="e">
        <v>#VALUE!</v>
      </c>
      <c r="T201" s="1">
        <v>-1209.2177733610754</v>
      </c>
      <c r="V201" s="1" t="s">
        <v>22</v>
      </c>
      <c r="W201" s="1" t="s">
        <v>17</v>
      </c>
      <c r="X201" s="1">
        <v>961.3</v>
      </c>
      <c r="Y201" s="1" t="s">
        <v>34</v>
      </c>
      <c r="Z201" s="1">
        <v>65.412000000000006</v>
      </c>
      <c r="AA201" s="1" t="s">
        <v>67</v>
      </c>
    </row>
    <row r="202" spans="1:27" x14ac:dyDescent="0.25">
      <c r="A202" s="1">
        <f t="shared" si="5"/>
        <v>198</v>
      </c>
      <c r="B202" s="1">
        <v>368.62299873758053</v>
      </c>
      <c r="C202" s="1" t="s">
        <v>47</v>
      </c>
      <c r="D202" s="1">
        <v>-1213.3035991313884</v>
      </c>
      <c r="F202" s="1" t="s">
        <v>22</v>
      </c>
      <c r="G202" s="1" t="s">
        <v>17</v>
      </c>
      <c r="H202" s="1">
        <v>964.2</v>
      </c>
      <c r="I202" s="1" t="s">
        <v>34</v>
      </c>
      <c r="J202" s="1">
        <v>72.91</v>
      </c>
      <c r="K202" s="1" t="s">
        <v>44</v>
      </c>
      <c r="R202" s="1">
        <v>301.26999873758052</v>
      </c>
      <c r="S202" s="1" t="e">
        <v>#VALUE!</v>
      </c>
      <c r="T202" s="1">
        <v>-1213.3035991313884</v>
      </c>
      <c r="V202" s="1" t="s">
        <v>22</v>
      </c>
      <c r="W202" s="1" t="s">
        <v>17</v>
      </c>
      <c r="X202" s="1">
        <v>964.2</v>
      </c>
      <c r="Y202" s="1" t="s">
        <v>34</v>
      </c>
      <c r="Z202" s="1">
        <v>65.619</v>
      </c>
      <c r="AA202" s="1" t="s">
        <v>67</v>
      </c>
    </row>
    <row r="203" spans="1:27" x14ac:dyDescent="0.25">
      <c r="A203" s="1">
        <f t="shared" si="5"/>
        <v>199</v>
      </c>
      <c r="B203" s="1">
        <v>370.29092492663295</v>
      </c>
      <c r="C203" s="1">
        <v>742.06200000000001</v>
      </c>
      <c r="D203" s="1">
        <v>19.549626749265542</v>
      </c>
      <c r="E203" s="1">
        <v>18.5</v>
      </c>
      <c r="F203" s="1" t="s">
        <v>24</v>
      </c>
      <c r="G203" s="1" t="s">
        <v>25</v>
      </c>
      <c r="H203" s="1">
        <v>966.98</v>
      </c>
      <c r="I203" s="1" t="s">
        <v>34</v>
      </c>
      <c r="J203" s="1">
        <v>73.2</v>
      </c>
      <c r="K203" s="1" t="s">
        <v>44</v>
      </c>
      <c r="R203" s="1">
        <v>302.93792492663295</v>
      </c>
      <c r="S203" s="1">
        <v>890.47439999999995</v>
      </c>
      <c r="T203" s="1">
        <v>19.549626749265542</v>
      </c>
      <c r="U203" s="1">
        <v>18.5</v>
      </c>
      <c r="V203" s="1" t="s">
        <v>24</v>
      </c>
      <c r="W203" s="1" t="s">
        <v>25</v>
      </c>
      <c r="X203" s="1">
        <v>966.98</v>
      </c>
      <c r="Y203" s="1" t="s">
        <v>34</v>
      </c>
      <c r="Z203" s="1">
        <v>65.88</v>
      </c>
      <c r="AA203" s="1" t="s">
        <v>67</v>
      </c>
    </row>
    <row r="204" spans="1:27" x14ac:dyDescent="0.25">
      <c r="A204" s="1">
        <f t="shared" si="5"/>
        <v>200</v>
      </c>
      <c r="B204" s="1">
        <v>370.29092492663295</v>
      </c>
      <c r="C204" s="1">
        <v>742.10399999999993</v>
      </c>
      <c r="D204" s="1">
        <v>19.619626749265478</v>
      </c>
      <c r="E204" s="1">
        <v>17.600000000000001</v>
      </c>
      <c r="F204" s="1" t="s">
        <v>26</v>
      </c>
      <c r="G204" s="1" t="s">
        <v>25</v>
      </c>
      <c r="H204" s="1">
        <v>966.98</v>
      </c>
      <c r="I204" s="1" t="s">
        <v>34</v>
      </c>
      <c r="J204" s="1">
        <v>73.260000000000005</v>
      </c>
      <c r="K204" s="1" t="s">
        <v>44</v>
      </c>
      <c r="R204" s="1">
        <v>302.93792492663295</v>
      </c>
      <c r="S204" s="1">
        <v>890.52479999999991</v>
      </c>
      <c r="T204" s="1">
        <v>19.619626749265478</v>
      </c>
      <c r="U204" s="1">
        <v>17.600000000000001</v>
      </c>
      <c r="V204" s="1" t="s">
        <v>26</v>
      </c>
      <c r="W204" s="1" t="s">
        <v>25</v>
      </c>
      <c r="X204" s="1">
        <v>966.98</v>
      </c>
      <c r="Y204" s="1" t="s">
        <v>34</v>
      </c>
      <c r="Z204" s="1">
        <v>65.934000000000012</v>
      </c>
      <c r="AA204" s="1" t="s">
        <v>67</v>
      </c>
    </row>
    <row r="205" spans="1:27" x14ac:dyDescent="0.25">
      <c r="A205" s="1">
        <f t="shared" si="5"/>
        <v>201</v>
      </c>
      <c r="B205" s="1">
        <v>379.49461057219764</v>
      </c>
      <c r="C205" s="1" t="s">
        <v>47</v>
      </c>
      <c r="D205" s="1">
        <v>-1238.8332947191743</v>
      </c>
      <c r="E205" s="1">
        <v>13.3</v>
      </c>
      <c r="F205" s="1" t="s">
        <v>29</v>
      </c>
      <c r="G205" s="1" t="s">
        <v>17</v>
      </c>
      <c r="H205" s="1">
        <v>982.32</v>
      </c>
      <c r="I205" s="1" t="s">
        <v>34</v>
      </c>
      <c r="J205" s="1">
        <v>73.97</v>
      </c>
      <c r="K205" s="1" t="s">
        <v>44</v>
      </c>
      <c r="R205" s="1">
        <v>312.14161057219764</v>
      </c>
      <c r="S205" s="1" t="e">
        <v>#VALUE!</v>
      </c>
      <c r="T205" s="1">
        <v>-1238.8332947191743</v>
      </c>
      <c r="U205" s="1">
        <v>13.3</v>
      </c>
      <c r="V205" s="1" t="s">
        <v>29</v>
      </c>
      <c r="W205" s="1" t="s">
        <v>17</v>
      </c>
      <c r="X205" s="1">
        <v>982.32</v>
      </c>
      <c r="Y205" s="1" t="s">
        <v>34</v>
      </c>
      <c r="Z205" s="1">
        <v>66.573000000000008</v>
      </c>
      <c r="AA205" s="1" t="s">
        <v>67</v>
      </c>
    </row>
    <row r="206" spans="1:27" x14ac:dyDescent="0.25">
      <c r="A206" s="1">
        <f t="shared" si="5"/>
        <v>202</v>
      </c>
      <c r="B206" s="1">
        <v>379.49461057219764</v>
      </c>
      <c r="C206" s="1" t="s">
        <v>47</v>
      </c>
      <c r="D206" s="1">
        <v>-1238.8332947191743</v>
      </c>
      <c r="F206" s="1" t="s">
        <v>28</v>
      </c>
      <c r="G206" s="1" t="s">
        <v>17</v>
      </c>
      <c r="H206" s="1">
        <v>982.32</v>
      </c>
      <c r="I206" s="1" t="s">
        <v>34</v>
      </c>
      <c r="J206" s="1">
        <v>73.97</v>
      </c>
      <c r="K206" s="1" t="s">
        <v>44</v>
      </c>
      <c r="R206" s="1">
        <v>312.14161057219764</v>
      </c>
      <c r="S206" s="1" t="e">
        <v>#VALUE!</v>
      </c>
      <c r="T206" s="1">
        <v>-1238.8332947191743</v>
      </c>
      <c r="V206" s="1" t="s">
        <v>28</v>
      </c>
      <c r="W206" s="1" t="s">
        <v>17</v>
      </c>
      <c r="X206" s="1">
        <v>982.32</v>
      </c>
      <c r="Y206" s="1" t="s">
        <v>34</v>
      </c>
      <c r="Z206" s="1">
        <v>66.573000000000008</v>
      </c>
      <c r="AA206" s="1" t="s">
        <v>67</v>
      </c>
    </row>
    <row r="207" spans="1:27" x14ac:dyDescent="0.25">
      <c r="A207" s="1">
        <f t="shared" si="5"/>
        <v>203</v>
      </c>
      <c r="B207" s="1">
        <v>381.64255741837133</v>
      </c>
      <c r="C207" s="1" t="s">
        <v>47</v>
      </c>
      <c r="D207" s="1">
        <v>-1243.8772964693978</v>
      </c>
      <c r="E207" s="1">
        <v>15</v>
      </c>
      <c r="F207" s="1" t="s">
        <v>29</v>
      </c>
      <c r="G207" s="1" t="s">
        <v>17</v>
      </c>
      <c r="H207" s="1">
        <v>985.9</v>
      </c>
      <c r="I207" s="1" t="s">
        <v>34</v>
      </c>
      <c r="J207" s="1">
        <v>74.14</v>
      </c>
      <c r="K207" s="1" t="s">
        <v>44</v>
      </c>
      <c r="R207" s="1">
        <v>314.28955741837132</v>
      </c>
      <c r="S207" s="1" t="e">
        <v>#VALUE!</v>
      </c>
      <c r="T207" s="1">
        <v>-1243.8772964693978</v>
      </c>
      <c r="U207" s="1">
        <v>15</v>
      </c>
      <c r="V207" s="1" t="s">
        <v>29</v>
      </c>
      <c r="W207" s="1" t="s">
        <v>17</v>
      </c>
      <c r="X207" s="1">
        <v>985.9</v>
      </c>
      <c r="Y207" s="1" t="s">
        <v>34</v>
      </c>
      <c r="Z207" s="1">
        <v>66.725999999999999</v>
      </c>
      <c r="AA207" s="1" t="s">
        <v>67</v>
      </c>
    </row>
    <row r="208" spans="1:27" x14ac:dyDescent="0.25">
      <c r="A208" s="1">
        <f t="shared" si="5"/>
        <v>204</v>
      </c>
      <c r="B208" s="1">
        <v>384.19789490877702</v>
      </c>
      <c r="C208" s="1" t="s">
        <v>47</v>
      </c>
      <c r="D208" s="1">
        <v>-1249.8779695293379</v>
      </c>
      <c r="F208" s="1" t="s">
        <v>22</v>
      </c>
      <c r="G208" s="1" t="s">
        <v>17</v>
      </c>
      <c r="H208" s="1">
        <v>990.15899999999999</v>
      </c>
      <c r="I208" s="1" t="s">
        <v>34</v>
      </c>
      <c r="J208" s="1">
        <v>74.2</v>
      </c>
      <c r="K208" s="1" t="s">
        <v>44</v>
      </c>
      <c r="R208" s="1">
        <v>316.84489490877701</v>
      </c>
      <c r="S208" s="1" t="e">
        <v>#VALUE!</v>
      </c>
      <c r="T208" s="1">
        <v>-1249.8779695293379</v>
      </c>
      <c r="V208" s="1" t="s">
        <v>22</v>
      </c>
      <c r="W208" s="1" t="s">
        <v>17</v>
      </c>
      <c r="X208" s="1">
        <v>990.15899999999999</v>
      </c>
      <c r="Y208" s="1" t="s">
        <v>34</v>
      </c>
      <c r="Z208" s="1">
        <v>66.78</v>
      </c>
      <c r="AA208" s="1" t="s">
        <v>67</v>
      </c>
    </row>
    <row r="209" spans="1:27" x14ac:dyDescent="0.25">
      <c r="A209" s="1">
        <f t="shared" si="5"/>
        <v>205</v>
      </c>
      <c r="B209" s="1">
        <v>388.12238691126703</v>
      </c>
      <c r="C209" s="1" t="s">
        <v>47</v>
      </c>
      <c r="D209" s="1">
        <v>-1259.0938142158859</v>
      </c>
      <c r="F209" s="1" t="s">
        <v>22</v>
      </c>
      <c r="G209" s="1" t="s">
        <v>17</v>
      </c>
      <c r="H209" s="1">
        <v>996.7</v>
      </c>
      <c r="I209" s="1" t="s">
        <v>34</v>
      </c>
      <c r="J209" s="1">
        <v>74.3</v>
      </c>
      <c r="K209" s="1" t="s">
        <v>44</v>
      </c>
      <c r="R209" s="1">
        <v>320.76938691126702</v>
      </c>
      <c r="S209" s="1" t="e">
        <v>#VALUE!</v>
      </c>
      <c r="T209" s="1">
        <v>-1259.0938142158859</v>
      </c>
      <c r="V209" s="1" t="s">
        <v>22</v>
      </c>
      <c r="W209" s="1" t="s">
        <v>17</v>
      </c>
      <c r="X209" s="1">
        <v>996.7</v>
      </c>
      <c r="Y209" s="1" t="s">
        <v>34</v>
      </c>
      <c r="Z209" s="1">
        <v>66.87</v>
      </c>
      <c r="AA209" s="1" t="s">
        <v>67</v>
      </c>
    </row>
    <row r="210" spans="1:27" x14ac:dyDescent="0.25">
      <c r="A210" s="1">
        <f t="shared" si="5"/>
        <v>206</v>
      </c>
      <c r="B210" s="1">
        <v>402.94196751501443</v>
      </c>
      <c r="C210" s="1" t="s">
        <v>47</v>
      </c>
      <c r="D210" s="1">
        <v>-1293.8944847427372</v>
      </c>
      <c r="F210" s="1" t="s">
        <v>22</v>
      </c>
      <c r="G210" s="1" t="s">
        <v>17</v>
      </c>
      <c r="H210" s="1">
        <v>1021.4</v>
      </c>
      <c r="I210" s="1" t="s">
        <v>34</v>
      </c>
      <c r="J210" s="1">
        <v>75.06</v>
      </c>
      <c r="K210" s="1" t="s">
        <v>44</v>
      </c>
      <c r="R210" s="1">
        <v>335.58896751501442</v>
      </c>
      <c r="S210" s="1" t="e">
        <v>#VALUE!</v>
      </c>
      <c r="T210" s="1">
        <v>-1293.8944847427372</v>
      </c>
      <c r="V210" s="1" t="s">
        <v>22</v>
      </c>
      <c r="W210" s="1" t="s">
        <v>17</v>
      </c>
      <c r="X210" s="1">
        <v>1021.4</v>
      </c>
      <c r="Y210" s="1" t="s">
        <v>34</v>
      </c>
      <c r="Z210" s="1">
        <v>67.554000000000002</v>
      </c>
      <c r="AA210" s="1" t="s">
        <v>67</v>
      </c>
    </row>
    <row r="211" spans="1:27" x14ac:dyDescent="0.25">
      <c r="A211" s="1">
        <f t="shared" si="5"/>
        <v>207</v>
      </c>
      <c r="B211" s="1">
        <v>420.8635779601538</v>
      </c>
      <c r="C211" s="1" t="s">
        <v>47</v>
      </c>
      <c r="D211" s="1">
        <v>-1335.9796204215538</v>
      </c>
      <c r="F211" s="1" t="s">
        <v>22</v>
      </c>
      <c r="G211" s="1" t="s">
        <v>17</v>
      </c>
      <c r="H211" s="1">
        <v>1051.27</v>
      </c>
      <c r="I211" s="1" t="s">
        <v>34</v>
      </c>
      <c r="J211" s="1">
        <v>75.599999999999994</v>
      </c>
      <c r="K211" s="1" t="s">
        <v>44</v>
      </c>
      <c r="R211" s="1">
        <v>353.5105779601538</v>
      </c>
      <c r="S211" s="1" t="e">
        <v>#VALUE!</v>
      </c>
      <c r="T211" s="1">
        <v>-1335.9796204215538</v>
      </c>
      <c r="V211" s="1" t="s">
        <v>22</v>
      </c>
      <c r="W211" s="1" t="s">
        <v>17</v>
      </c>
      <c r="X211" s="1">
        <v>1051.27</v>
      </c>
      <c r="Y211" s="1" t="s">
        <v>34</v>
      </c>
      <c r="Z211" s="1">
        <v>68.039999999999992</v>
      </c>
      <c r="AA211" s="1" t="s">
        <v>67</v>
      </c>
    </row>
    <row r="212" spans="1:27" x14ac:dyDescent="0.25">
      <c r="A212" s="1">
        <f t="shared" si="5"/>
        <v>208</v>
      </c>
      <c r="B212" s="1">
        <v>421.00157389673853</v>
      </c>
      <c r="C212" s="1" t="s">
        <v>47</v>
      </c>
      <c r="D212" s="1">
        <v>-1336.3036748770435</v>
      </c>
      <c r="F212" s="1" t="s">
        <v>22</v>
      </c>
      <c r="G212" s="1" t="s">
        <v>17</v>
      </c>
      <c r="H212" s="1">
        <v>1051.5</v>
      </c>
      <c r="I212" s="1" t="s">
        <v>34</v>
      </c>
      <c r="J212" s="1">
        <v>75.7</v>
      </c>
      <c r="K212" s="1" t="s">
        <v>44</v>
      </c>
      <c r="R212" s="1">
        <v>353.64857389673853</v>
      </c>
      <c r="S212" s="1" t="e">
        <v>#VALUE!</v>
      </c>
      <c r="T212" s="1">
        <v>-1336.3036748770435</v>
      </c>
      <c r="V212" s="1" t="s">
        <v>22</v>
      </c>
      <c r="W212" s="1" t="s">
        <v>17</v>
      </c>
      <c r="X212" s="1">
        <v>1051.5</v>
      </c>
      <c r="Y212" s="1" t="s">
        <v>34</v>
      </c>
      <c r="Z212" s="1">
        <v>68.13</v>
      </c>
      <c r="AA212" s="1" t="s">
        <v>67</v>
      </c>
    </row>
    <row r="213" spans="1:27" x14ac:dyDescent="0.25">
      <c r="A213" s="1">
        <f t="shared" si="5"/>
        <v>209</v>
      </c>
      <c r="B213" s="1">
        <v>439.59983873754823</v>
      </c>
      <c r="C213" s="1">
        <v>819.88800000000003</v>
      </c>
      <c r="D213" s="1">
        <v>-13.497791196669425</v>
      </c>
      <c r="E213" s="1">
        <v>14.5</v>
      </c>
      <c r="F213" s="1" t="s">
        <v>26</v>
      </c>
      <c r="G213" s="1" t="s">
        <v>19</v>
      </c>
      <c r="H213" s="1">
        <v>1082.498</v>
      </c>
      <c r="I213" s="1" t="s">
        <v>34</v>
      </c>
      <c r="J213" s="1">
        <v>77.2</v>
      </c>
      <c r="K213" s="1" t="s">
        <v>44</v>
      </c>
      <c r="R213" s="1">
        <v>372.24683873754822</v>
      </c>
      <c r="S213" s="1">
        <v>983.86559999999997</v>
      </c>
      <c r="T213" s="1">
        <v>-13.497791196669425</v>
      </c>
      <c r="U213" s="1">
        <v>14.5</v>
      </c>
      <c r="V213" s="1" t="s">
        <v>26</v>
      </c>
      <c r="W213" s="1" t="s">
        <v>19</v>
      </c>
      <c r="X213" s="1">
        <v>1082.498</v>
      </c>
      <c r="Y213" s="1" t="s">
        <v>34</v>
      </c>
      <c r="Z213" s="1">
        <v>69.48</v>
      </c>
      <c r="AA213" s="1" t="s">
        <v>67</v>
      </c>
    </row>
    <row r="214" spans="1:27" x14ac:dyDescent="0.25">
      <c r="A214" s="1">
        <f t="shared" si="5"/>
        <v>210</v>
      </c>
      <c r="B214" s="1">
        <v>439.59983873754823</v>
      </c>
      <c r="C214" s="1">
        <v>820.11599999999987</v>
      </c>
      <c r="D214" s="1">
        <v>-13.117791196669543</v>
      </c>
      <c r="E214" s="1">
        <v>13.92</v>
      </c>
      <c r="F214" s="1" t="s">
        <v>26</v>
      </c>
      <c r="G214" s="1" t="s">
        <v>25</v>
      </c>
      <c r="H214" s="1">
        <v>1082.498</v>
      </c>
      <c r="I214" s="1" t="s">
        <v>34</v>
      </c>
      <c r="J214" s="1">
        <v>77.2</v>
      </c>
      <c r="K214" s="1" t="s">
        <v>44</v>
      </c>
      <c r="R214" s="1">
        <v>372.24683873754822</v>
      </c>
      <c r="S214" s="1">
        <v>984.13919999999985</v>
      </c>
      <c r="T214" s="1">
        <v>-13.117791196669543</v>
      </c>
      <c r="U214" s="1">
        <v>13.92</v>
      </c>
      <c r="V214" s="1" t="s">
        <v>26</v>
      </c>
      <c r="W214" s="1" t="s">
        <v>25</v>
      </c>
      <c r="X214" s="1">
        <v>1082.498</v>
      </c>
      <c r="Y214" s="1" t="s">
        <v>34</v>
      </c>
      <c r="Z214" s="1">
        <v>69.48</v>
      </c>
      <c r="AA214" s="1" t="s">
        <v>67</v>
      </c>
    </row>
    <row r="215" spans="1:27" x14ac:dyDescent="0.25">
      <c r="A215" s="1">
        <f t="shared" si="5"/>
        <v>211</v>
      </c>
      <c r="B215" s="1">
        <v>440.04503463463419</v>
      </c>
      <c r="C215" s="1">
        <v>820.34399999999994</v>
      </c>
      <c r="D215" s="1">
        <v>-13.78324019746475</v>
      </c>
      <c r="E215" s="1">
        <v>13</v>
      </c>
      <c r="F215" s="1" t="s">
        <v>26</v>
      </c>
      <c r="G215" s="1" t="s">
        <v>19</v>
      </c>
      <c r="H215" s="1">
        <v>1083.24</v>
      </c>
      <c r="I215" s="1" t="s">
        <v>34</v>
      </c>
      <c r="J215" s="1">
        <v>77.3</v>
      </c>
      <c r="K215" s="1" t="s">
        <v>44</v>
      </c>
      <c r="R215" s="1">
        <v>372.69203463463418</v>
      </c>
      <c r="S215" s="1">
        <v>984.41279999999983</v>
      </c>
      <c r="T215" s="1">
        <v>-13.78324019746475</v>
      </c>
      <c r="U215" s="1">
        <v>13</v>
      </c>
      <c r="V215" s="1" t="s">
        <v>26</v>
      </c>
      <c r="W215" s="1" t="s">
        <v>19</v>
      </c>
      <c r="X215" s="1">
        <v>1083.24</v>
      </c>
      <c r="Y215" s="1" t="s">
        <v>34</v>
      </c>
      <c r="Z215" s="1">
        <v>69.569999999999993</v>
      </c>
      <c r="AA215" s="1" t="s">
        <v>67</v>
      </c>
    </row>
    <row r="216" spans="1:27" x14ac:dyDescent="0.25">
      <c r="A216" s="1">
        <f t="shared" si="5"/>
        <v>212</v>
      </c>
      <c r="B216" s="1">
        <v>443.61562153528553</v>
      </c>
      <c r="C216" s="1" t="s">
        <v>47</v>
      </c>
      <c r="D216" s="1">
        <v>-1389.4080131299481</v>
      </c>
      <c r="F216" s="1" t="s">
        <v>22</v>
      </c>
      <c r="G216" s="1" t="s">
        <v>17</v>
      </c>
      <c r="H216" s="1">
        <v>1089.191</v>
      </c>
      <c r="I216" s="1" t="s">
        <v>34</v>
      </c>
      <c r="J216" s="1">
        <v>77.400000000000006</v>
      </c>
      <c r="K216" s="1" t="s">
        <v>44</v>
      </c>
      <c r="R216" s="1">
        <v>376.26262153528552</v>
      </c>
      <c r="S216" s="1" t="e">
        <v>#VALUE!</v>
      </c>
      <c r="T216" s="1">
        <v>-1389.4080131299481</v>
      </c>
      <c r="V216" s="1" t="s">
        <v>22</v>
      </c>
      <c r="W216" s="1" t="s">
        <v>17</v>
      </c>
      <c r="X216" s="1">
        <v>1089.191</v>
      </c>
      <c r="Y216" s="1" t="s">
        <v>34</v>
      </c>
      <c r="Z216" s="1">
        <v>69.660000000000011</v>
      </c>
      <c r="AA216" s="1" t="s">
        <v>67</v>
      </c>
    </row>
    <row r="217" spans="1:27" x14ac:dyDescent="0.25">
      <c r="A217" s="1">
        <f t="shared" si="5"/>
        <v>213</v>
      </c>
      <c r="B217" s="1">
        <v>443.80102167587313</v>
      </c>
      <c r="C217" s="1" t="s">
        <v>47</v>
      </c>
      <c r="D217" s="1">
        <v>-1389.8433863959492</v>
      </c>
      <c r="F217" s="1" t="s">
        <v>22</v>
      </c>
      <c r="G217" s="1" t="s">
        <v>17</v>
      </c>
      <c r="H217" s="1">
        <v>1089.5</v>
      </c>
      <c r="I217" s="1" t="s">
        <v>34</v>
      </c>
      <c r="J217" s="1">
        <v>77.400000000000006</v>
      </c>
      <c r="K217" s="1" t="s">
        <v>44</v>
      </c>
      <c r="R217" s="1">
        <v>376.44802167587312</v>
      </c>
      <c r="S217" s="1" t="e">
        <v>#VALUE!</v>
      </c>
      <c r="T217" s="1">
        <v>-1389.8433863959492</v>
      </c>
      <c r="V217" s="1" t="s">
        <v>22</v>
      </c>
      <c r="W217" s="1" t="s">
        <v>17</v>
      </c>
      <c r="X217" s="1">
        <v>1089.5</v>
      </c>
      <c r="Y217" s="1" t="s">
        <v>34</v>
      </c>
      <c r="Z217" s="1">
        <v>69.660000000000011</v>
      </c>
      <c r="AA217" s="1" t="s">
        <v>67</v>
      </c>
    </row>
    <row r="218" spans="1:27" x14ac:dyDescent="0.25">
      <c r="A218" s="1">
        <f t="shared" si="5"/>
        <v>214</v>
      </c>
      <c r="B218" s="1">
        <v>444.73702331437948</v>
      </c>
      <c r="C218" s="1" t="s">
        <v>47</v>
      </c>
      <c r="D218" s="1">
        <v>-1392.0413895314778</v>
      </c>
      <c r="F218" s="1" t="s">
        <v>22</v>
      </c>
      <c r="G218" s="1" t="s">
        <v>17</v>
      </c>
      <c r="H218" s="1">
        <v>1091.06</v>
      </c>
      <c r="I218" s="1" t="s">
        <v>34</v>
      </c>
      <c r="J218" s="1">
        <v>77.36</v>
      </c>
      <c r="K218" s="1" t="s">
        <v>44</v>
      </c>
      <c r="R218" s="1">
        <v>377.38402331437948</v>
      </c>
      <c r="S218" s="1" t="e">
        <v>#VALUE!</v>
      </c>
      <c r="T218" s="1">
        <v>-1392.0413895314778</v>
      </c>
      <c r="V218" s="1" t="s">
        <v>22</v>
      </c>
      <c r="W218" s="1" t="s">
        <v>17</v>
      </c>
      <c r="X218" s="1">
        <v>1091.06</v>
      </c>
      <c r="Y218" s="1" t="s">
        <v>34</v>
      </c>
      <c r="Z218" s="1">
        <v>69.623999999999995</v>
      </c>
      <c r="AA218" s="1" t="s">
        <v>67</v>
      </c>
    </row>
    <row r="219" spans="1:27" x14ac:dyDescent="0.25">
      <c r="A219" s="1">
        <f t="shared" si="5"/>
        <v>215</v>
      </c>
      <c r="B219" s="1">
        <v>444.46102268145177</v>
      </c>
      <c r="C219" s="1" t="s">
        <v>47</v>
      </c>
      <c r="D219" s="1">
        <v>-1391.3932600500475</v>
      </c>
      <c r="F219" s="1" t="s">
        <v>22</v>
      </c>
      <c r="G219" s="1" t="s">
        <v>17</v>
      </c>
      <c r="H219" s="1">
        <v>1090.5999999999999</v>
      </c>
      <c r="I219" s="1" t="s">
        <v>34</v>
      </c>
      <c r="J219" s="1">
        <v>77.5</v>
      </c>
      <c r="K219" s="1" t="s">
        <v>44</v>
      </c>
      <c r="R219" s="1">
        <v>377.10802268145176</v>
      </c>
      <c r="S219" s="1" t="e">
        <v>#VALUE!</v>
      </c>
      <c r="T219" s="1">
        <v>-1391.3932600500475</v>
      </c>
      <c r="V219" s="1" t="s">
        <v>22</v>
      </c>
      <c r="W219" s="1" t="s">
        <v>17</v>
      </c>
      <c r="X219" s="1">
        <v>1090.5999999999999</v>
      </c>
      <c r="Y219" s="1" t="s">
        <v>34</v>
      </c>
      <c r="Z219" s="1">
        <v>69.75</v>
      </c>
      <c r="AA219" s="1" t="s">
        <v>67</v>
      </c>
    </row>
    <row r="220" spans="1:27" x14ac:dyDescent="0.25">
      <c r="A220" s="1">
        <f t="shared" si="5"/>
        <v>216</v>
      </c>
      <c r="B220" s="1">
        <v>450.10104393907613</v>
      </c>
      <c r="C220" s="1" t="s">
        <v>47</v>
      </c>
      <c r="D220" s="1">
        <v>-1404.6376646522526</v>
      </c>
      <c r="F220" s="1" t="s">
        <v>22</v>
      </c>
      <c r="G220" s="1" t="s">
        <v>17</v>
      </c>
      <c r="H220" s="1">
        <v>1100</v>
      </c>
      <c r="I220" s="1" t="s">
        <v>34</v>
      </c>
      <c r="J220" s="1">
        <v>77.8</v>
      </c>
      <c r="K220" s="1" t="s">
        <v>44</v>
      </c>
      <c r="R220" s="1">
        <v>382.74804393907613</v>
      </c>
      <c r="S220" s="1" t="e">
        <v>#VALUE!</v>
      </c>
      <c r="T220" s="1">
        <v>-1404.6376646522526</v>
      </c>
      <c r="V220" s="1" t="s">
        <v>22</v>
      </c>
      <c r="W220" s="1" t="s">
        <v>17</v>
      </c>
      <c r="X220" s="1">
        <v>1100</v>
      </c>
      <c r="Y220" s="1" t="s">
        <v>34</v>
      </c>
      <c r="Z220" s="1">
        <v>70.02</v>
      </c>
      <c r="AA220" s="1" t="s">
        <v>67</v>
      </c>
    </row>
    <row r="221" spans="1:27" x14ac:dyDescent="0.25">
      <c r="A221" s="1">
        <f t="shared" si="5"/>
        <v>217</v>
      </c>
      <c r="B221" s="1">
        <v>456.58099831019439</v>
      </c>
      <c r="C221" s="1" t="s">
        <v>47</v>
      </c>
      <c r="D221" s="1">
        <v>-1419.8544756490019</v>
      </c>
      <c r="F221" s="1" t="s">
        <v>22</v>
      </c>
      <c r="G221" s="1" t="s">
        <v>17</v>
      </c>
      <c r="H221" s="1">
        <v>1110.8</v>
      </c>
      <c r="I221" s="1" t="s">
        <v>34</v>
      </c>
      <c r="J221" s="1">
        <v>77.900000000000006</v>
      </c>
      <c r="K221" s="1" t="s">
        <v>44</v>
      </c>
      <c r="R221" s="1">
        <v>389.22799831019438</v>
      </c>
      <c r="S221" s="1" t="e">
        <v>#VALUE!</v>
      </c>
      <c r="T221" s="1">
        <v>-1419.8544756490019</v>
      </c>
      <c r="V221" s="1" t="s">
        <v>22</v>
      </c>
      <c r="W221" s="1" t="s">
        <v>17</v>
      </c>
      <c r="X221" s="1">
        <v>1110.8</v>
      </c>
      <c r="Y221" s="1" t="s">
        <v>34</v>
      </c>
      <c r="Z221" s="1">
        <v>70.110000000000014</v>
      </c>
      <c r="AA221" s="1" t="s">
        <v>67</v>
      </c>
    </row>
    <row r="222" spans="1:27" x14ac:dyDescent="0.25">
      <c r="A222" s="1">
        <f t="shared" si="5"/>
        <v>218</v>
      </c>
      <c r="B222" s="1">
        <v>456.82099328224547</v>
      </c>
      <c r="C222" s="1" t="s">
        <v>47</v>
      </c>
      <c r="D222" s="1">
        <v>-1420.4180534029053</v>
      </c>
      <c r="F222" s="1" t="s">
        <v>22</v>
      </c>
      <c r="G222" s="1" t="s">
        <v>17</v>
      </c>
      <c r="H222" s="1">
        <v>1111.2</v>
      </c>
      <c r="I222" s="1" t="s">
        <v>34</v>
      </c>
      <c r="J222" s="1">
        <v>77.900000000000006</v>
      </c>
      <c r="K222" s="1" t="s">
        <v>44</v>
      </c>
      <c r="R222" s="1">
        <v>389.46799328224546</v>
      </c>
      <c r="S222" s="1" t="e">
        <v>#VALUE!</v>
      </c>
      <c r="T222" s="1">
        <v>-1420.4180534029053</v>
      </c>
      <c r="V222" s="1" t="s">
        <v>22</v>
      </c>
      <c r="W222" s="1" t="s">
        <v>17</v>
      </c>
      <c r="X222" s="1">
        <v>1111.2</v>
      </c>
      <c r="Y222" s="1" t="s">
        <v>34</v>
      </c>
      <c r="Z222" s="1">
        <v>70.110000000000014</v>
      </c>
      <c r="AA222" s="1" t="s">
        <v>67</v>
      </c>
    </row>
    <row r="223" spans="1:27" x14ac:dyDescent="0.25">
      <c r="A223" s="1">
        <f t="shared" si="5"/>
        <v>219</v>
      </c>
      <c r="B223" s="1">
        <v>458.62094568516426</v>
      </c>
      <c r="C223" s="1" t="s">
        <v>47</v>
      </c>
      <c r="D223" s="1">
        <v>-1424.6448633385487</v>
      </c>
      <c r="F223" s="1" t="s">
        <v>22</v>
      </c>
      <c r="G223" s="1" t="s">
        <v>17</v>
      </c>
      <c r="H223" s="1">
        <v>1114.2</v>
      </c>
      <c r="I223" s="1" t="s">
        <v>34</v>
      </c>
      <c r="J223" s="1">
        <v>78</v>
      </c>
      <c r="K223" s="1" t="s">
        <v>44</v>
      </c>
      <c r="R223" s="1">
        <v>391.26794568516425</v>
      </c>
      <c r="S223" s="1" t="e">
        <v>#VALUE!</v>
      </c>
      <c r="T223" s="1">
        <v>-1424.6448633385487</v>
      </c>
      <c r="V223" s="1" t="s">
        <v>22</v>
      </c>
      <c r="W223" s="1" t="s">
        <v>17</v>
      </c>
      <c r="X223" s="1">
        <v>1114.2</v>
      </c>
      <c r="Y223" s="1" t="s">
        <v>34</v>
      </c>
      <c r="Z223" s="1">
        <v>70.2</v>
      </c>
      <c r="AA223" s="1" t="s">
        <v>67</v>
      </c>
    </row>
    <row r="224" spans="1:27" x14ac:dyDescent="0.25">
      <c r="A224" s="1">
        <f t="shared" si="5"/>
        <v>220</v>
      </c>
      <c r="B224" s="1">
        <v>344.44527555294104</v>
      </c>
      <c r="C224" s="1" t="s">
        <v>47</v>
      </c>
      <c r="D224" s="1">
        <v>-1156.5272974845464</v>
      </c>
      <c r="F224" s="1" t="s">
        <v>28</v>
      </c>
      <c r="G224" s="1" t="s">
        <v>17</v>
      </c>
      <c r="H224" s="1">
        <v>923.9</v>
      </c>
      <c r="I224" s="1" t="s">
        <v>34</v>
      </c>
      <c r="J224" s="1">
        <v>74.2</v>
      </c>
      <c r="K224" s="1" t="s">
        <v>44</v>
      </c>
      <c r="R224" s="1">
        <v>277.09227555294103</v>
      </c>
      <c r="S224" s="1" t="e">
        <v>#VALUE!</v>
      </c>
      <c r="T224" s="1">
        <v>-1156.5272974845464</v>
      </c>
      <c r="V224" s="1" t="s">
        <v>28</v>
      </c>
      <c r="W224" s="1" t="s">
        <v>17</v>
      </c>
      <c r="X224" s="1">
        <v>923.9</v>
      </c>
      <c r="Y224" s="1" t="s">
        <v>34</v>
      </c>
      <c r="Z224" s="1">
        <v>66.78</v>
      </c>
      <c r="AA224" s="1" t="s">
        <v>67</v>
      </c>
    </row>
    <row r="225" spans="1:27" x14ac:dyDescent="0.25">
      <c r="A225" s="1">
        <f t="shared" si="5"/>
        <v>221</v>
      </c>
      <c r="B225" s="1">
        <v>344.50526728699032</v>
      </c>
      <c r="C225" s="1" t="s">
        <v>47</v>
      </c>
      <c r="D225" s="1">
        <v>-1156.6681754639446</v>
      </c>
      <c r="F225" s="1" t="s">
        <v>28</v>
      </c>
      <c r="G225" s="1" t="s">
        <v>17</v>
      </c>
      <c r="H225" s="1">
        <v>924</v>
      </c>
      <c r="I225" s="1" t="s">
        <v>34</v>
      </c>
      <c r="J225" s="1">
        <v>74</v>
      </c>
      <c r="K225" s="1" t="s">
        <v>44</v>
      </c>
      <c r="R225" s="1">
        <v>277.15226728699031</v>
      </c>
      <c r="S225" s="1" t="e">
        <v>#VALUE!</v>
      </c>
      <c r="T225" s="1">
        <v>-1156.6681754639446</v>
      </c>
      <c r="V225" s="1" t="s">
        <v>28</v>
      </c>
      <c r="W225" s="1" t="s">
        <v>17</v>
      </c>
      <c r="X225" s="1">
        <v>924</v>
      </c>
      <c r="Y225" s="1" t="s">
        <v>34</v>
      </c>
      <c r="Z225" s="1">
        <v>66.599999999999994</v>
      </c>
      <c r="AA225" s="1" t="s">
        <v>67</v>
      </c>
    </row>
    <row r="226" spans="1:27" x14ac:dyDescent="0.25">
      <c r="A226" s="1">
        <f t="shared" si="5"/>
        <v>222</v>
      </c>
      <c r="B226" s="1">
        <v>344.62525069995746</v>
      </c>
      <c r="C226" s="1" t="s">
        <v>47</v>
      </c>
      <c r="D226" s="1">
        <v>-1156.9499312932762</v>
      </c>
      <c r="F226" s="1" t="s">
        <v>28</v>
      </c>
      <c r="G226" s="1" t="s">
        <v>17</v>
      </c>
      <c r="H226" s="1">
        <v>924.2</v>
      </c>
      <c r="I226" s="1" t="s">
        <v>34</v>
      </c>
      <c r="J226" s="1">
        <v>72.7</v>
      </c>
      <c r="K226" s="1" t="s">
        <v>44</v>
      </c>
      <c r="R226" s="1">
        <v>277.27225069995745</v>
      </c>
      <c r="S226" s="1" t="e">
        <v>#VALUE!</v>
      </c>
      <c r="T226" s="1">
        <v>-1156.9499312932762</v>
      </c>
      <c r="V226" s="1" t="s">
        <v>28</v>
      </c>
      <c r="W226" s="1" t="s">
        <v>17</v>
      </c>
      <c r="X226" s="1">
        <v>924.2</v>
      </c>
      <c r="Y226" s="1" t="s">
        <v>34</v>
      </c>
      <c r="Z226" s="1">
        <v>65.430000000000007</v>
      </c>
      <c r="AA226" s="1" t="s">
        <v>67</v>
      </c>
    </row>
    <row r="227" spans="1:27" x14ac:dyDescent="0.25">
      <c r="A227" s="1">
        <f t="shared" si="5"/>
        <v>223</v>
      </c>
      <c r="B227" s="1">
        <v>344.38528380054049</v>
      </c>
      <c r="C227" s="1" t="s">
        <v>47</v>
      </c>
      <c r="D227" s="1">
        <v>-1156.3864194620544</v>
      </c>
      <c r="F227" s="1" t="s">
        <v>36</v>
      </c>
      <c r="G227" s="1" t="s">
        <v>17</v>
      </c>
      <c r="H227" s="1">
        <v>923.8</v>
      </c>
      <c r="I227" s="1" t="s">
        <v>34</v>
      </c>
      <c r="J227" s="1">
        <v>74.8</v>
      </c>
      <c r="K227" s="1" t="s">
        <v>44</v>
      </c>
      <c r="R227" s="1">
        <v>277.03228380054048</v>
      </c>
      <c r="S227" s="1" t="e">
        <v>#VALUE!</v>
      </c>
      <c r="T227" s="1">
        <v>-1156.3864194620544</v>
      </c>
      <c r="V227" s="1" t="s">
        <v>36</v>
      </c>
      <c r="W227" s="1" t="s">
        <v>17</v>
      </c>
      <c r="X227" s="1">
        <v>923.8</v>
      </c>
      <c r="Y227" s="1" t="s">
        <v>34</v>
      </c>
      <c r="Z227" s="1">
        <v>67.319999999999993</v>
      </c>
      <c r="AA227" s="1" t="s">
        <v>67</v>
      </c>
    </row>
    <row r="228" spans="1:27" x14ac:dyDescent="0.25">
      <c r="A228" s="1">
        <f t="shared" si="5"/>
        <v>224</v>
      </c>
      <c r="B228" s="1">
        <v>296.20822740936183</v>
      </c>
      <c r="C228" s="1">
        <v>636.44999999999993</v>
      </c>
      <c r="D228" s="1">
        <v>17.497272458955933</v>
      </c>
      <c r="E228" s="1">
        <v>41.5</v>
      </c>
      <c r="F228" s="1" t="s">
        <v>24</v>
      </c>
      <c r="G228" s="1" t="s">
        <v>19</v>
      </c>
      <c r="H228" s="1">
        <v>843.5</v>
      </c>
      <c r="I228" s="1" t="s">
        <v>34</v>
      </c>
      <c r="J228" s="1">
        <v>65.5</v>
      </c>
      <c r="K228" s="1" t="s">
        <v>44</v>
      </c>
      <c r="R228" s="1">
        <v>228.85522740936182</v>
      </c>
      <c r="S228" s="1">
        <v>763.7399999999999</v>
      </c>
      <c r="T228" s="1">
        <v>17.497272458955933</v>
      </c>
      <c r="U228" s="1">
        <v>41.5</v>
      </c>
      <c r="V228" s="1" t="s">
        <v>24</v>
      </c>
      <c r="W228" s="1" t="s">
        <v>19</v>
      </c>
      <c r="X228" s="1">
        <v>843.5</v>
      </c>
      <c r="Y228" s="1" t="s">
        <v>34</v>
      </c>
      <c r="Z228" s="1">
        <v>58.95</v>
      </c>
      <c r="AA228" s="1" t="s">
        <v>67</v>
      </c>
    </row>
    <row r="229" spans="1:27" x14ac:dyDescent="0.25">
      <c r="A229" s="1">
        <f t="shared" si="5"/>
        <v>225</v>
      </c>
      <c r="B229" s="1">
        <v>296.20822740936183</v>
      </c>
      <c r="C229" s="1" t="s">
        <v>47</v>
      </c>
      <c r="D229" s="1">
        <v>-1043.2527275410441</v>
      </c>
      <c r="F229" s="1" t="s">
        <v>36</v>
      </c>
      <c r="G229" s="1" t="s">
        <v>25</v>
      </c>
      <c r="H229" s="1">
        <v>843.5</v>
      </c>
      <c r="I229" s="1" t="s">
        <v>34</v>
      </c>
      <c r="J229" s="1">
        <v>65.5</v>
      </c>
      <c r="K229" s="1" t="s">
        <v>44</v>
      </c>
      <c r="R229" s="1">
        <v>228.85522740936182</v>
      </c>
      <c r="S229" s="1" t="e">
        <v>#VALUE!</v>
      </c>
      <c r="T229" s="1">
        <v>-1043.2527275410441</v>
      </c>
      <c r="V229" s="1" t="s">
        <v>36</v>
      </c>
      <c r="W229" s="1" t="s">
        <v>25</v>
      </c>
      <c r="X229" s="1">
        <v>843.5</v>
      </c>
      <c r="Y229" s="1" t="s">
        <v>34</v>
      </c>
      <c r="Z229" s="1">
        <v>58.95</v>
      </c>
      <c r="AA229" s="1" t="s">
        <v>67</v>
      </c>
    </row>
    <row r="230" spans="1:27" x14ac:dyDescent="0.25">
      <c r="A230" s="1">
        <f t="shared" si="5"/>
        <v>226</v>
      </c>
      <c r="B230" s="1">
        <v>232.43050848638762</v>
      </c>
      <c r="C230" s="1">
        <v>547.65599999999995</v>
      </c>
      <c r="D230" s="1">
        <v>19.275841660658045</v>
      </c>
      <c r="E230" s="1">
        <v>21.4</v>
      </c>
      <c r="F230" s="1" t="s">
        <v>24</v>
      </c>
      <c r="G230" s="1" t="s">
        <v>19</v>
      </c>
      <c r="H230" s="1">
        <v>737.2</v>
      </c>
      <c r="I230" s="1" t="s">
        <v>34</v>
      </c>
      <c r="J230" s="1">
        <v>66.5</v>
      </c>
      <c r="K230" s="1" t="s">
        <v>44</v>
      </c>
      <c r="R230" s="1">
        <v>165.07750848638761</v>
      </c>
      <c r="S230" s="1">
        <v>657.18719999999996</v>
      </c>
      <c r="T230" s="1">
        <v>19.275841660658045</v>
      </c>
      <c r="U230" s="1">
        <v>21.4</v>
      </c>
      <c r="V230" s="1" t="s">
        <v>24</v>
      </c>
      <c r="W230" s="1" t="s">
        <v>19</v>
      </c>
      <c r="X230" s="1">
        <v>737.2</v>
      </c>
      <c r="Y230" s="1" t="s">
        <v>34</v>
      </c>
      <c r="Z230" s="1">
        <v>59.85</v>
      </c>
      <c r="AA230" s="1" t="s">
        <v>67</v>
      </c>
    </row>
    <row r="231" spans="1:27" x14ac:dyDescent="0.25">
      <c r="A231" s="1">
        <f t="shared" si="5"/>
        <v>227</v>
      </c>
      <c r="B231" s="1">
        <v>232.43050848638762</v>
      </c>
      <c r="C231" s="1" t="s">
        <v>47</v>
      </c>
      <c r="D231" s="1">
        <v>-893.484158339342</v>
      </c>
      <c r="F231" s="1" t="s">
        <v>36</v>
      </c>
      <c r="G231" s="1" t="s">
        <v>17</v>
      </c>
      <c r="H231" s="1">
        <v>737.2</v>
      </c>
      <c r="I231" s="1" t="s">
        <v>34</v>
      </c>
      <c r="J231" s="1">
        <v>66.5</v>
      </c>
      <c r="K231" s="1" t="s">
        <v>44</v>
      </c>
      <c r="R231" s="1">
        <v>165.07750848638761</v>
      </c>
      <c r="S231" s="1" t="e">
        <v>#VALUE!</v>
      </c>
      <c r="T231" s="1">
        <v>-893.484158339342</v>
      </c>
      <c r="V231" s="1" t="s">
        <v>36</v>
      </c>
      <c r="W231" s="1" t="s">
        <v>17</v>
      </c>
      <c r="X231" s="1">
        <v>737.2</v>
      </c>
      <c r="Y231" s="1" t="s">
        <v>34</v>
      </c>
      <c r="Z231" s="1">
        <v>59.85</v>
      </c>
      <c r="AA231" s="1" t="s">
        <v>67</v>
      </c>
    </row>
    <row r="232" spans="1:27" x14ac:dyDescent="0.25">
      <c r="A232" s="1">
        <f t="shared" si="5"/>
        <v>228</v>
      </c>
      <c r="B232" s="1">
        <v>212.21100360125328</v>
      </c>
      <c r="C232" s="1">
        <v>503.75400000000002</v>
      </c>
      <c r="D232" s="1">
        <v>-6.412900499583202</v>
      </c>
      <c r="E232" s="1">
        <v>179</v>
      </c>
      <c r="F232" s="1" t="s">
        <v>24</v>
      </c>
      <c r="G232" s="1" t="s">
        <v>25</v>
      </c>
      <c r="H232" s="1">
        <v>703.5</v>
      </c>
      <c r="I232" s="1" t="s">
        <v>34</v>
      </c>
      <c r="J232" s="1">
        <v>65.599999999999994</v>
      </c>
      <c r="K232" s="1" t="s">
        <v>44</v>
      </c>
      <c r="R232" s="1">
        <v>144.8580036012533</v>
      </c>
      <c r="S232" s="1">
        <v>604.50480000000005</v>
      </c>
      <c r="T232" s="1">
        <v>-6.412900499583202</v>
      </c>
      <c r="U232" s="1">
        <v>179</v>
      </c>
      <c r="V232" s="1" t="s">
        <v>24</v>
      </c>
      <c r="W232" s="1" t="s">
        <v>25</v>
      </c>
      <c r="X232" s="1">
        <v>703.5</v>
      </c>
      <c r="Y232" s="1" t="s">
        <v>34</v>
      </c>
      <c r="Z232" s="1">
        <v>59.039999999999992</v>
      </c>
      <c r="AA232" s="1" t="s">
        <v>67</v>
      </c>
    </row>
    <row r="233" spans="1:27" x14ac:dyDescent="0.25">
      <c r="A233" s="1">
        <f t="shared" si="5"/>
        <v>229</v>
      </c>
      <c r="B233" s="1">
        <v>212.21100360125328</v>
      </c>
      <c r="C233" s="1">
        <v>500.31599999999997</v>
      </c>
      <c r="D233" s="1">
        <v>-12.14290049958322</v>
      </c>
      <c r="F233" s="1" t="s">
        <v>36</v>
      </c>
      <c r="G233" s="1" t="s">
        <v>25</v>
      </c>
      <c r="H233" s="1">
        <v>703.5</v>
      </c>
      <c r="I233" s="1" t="s">
        <v>34</v>
      </c>
      <c r="J233" s="1">
        <v>68</v>
      </c>
      <c r="K233" s="1" t="s">
        <v>44</v>
      </c>
      <c r="R233" s="1">
        <v>144.8580036012533</v>
      </c>
      <c r="S233" s="1">
        <v>600.37919999999997</v>
      </c>
      <c r="T233" s="1">
        <v>-12.14290049958322</v>
      </c>
      <c r="V233" s="1" t="s">
        <v>36</v>
      </c>
      <c r="W233" s="1" t="s">
        <v>25</v>
      </c>
      <c r="X233" s="1">
        <v>703.5</v>
      </c>
      <c r="Y233" s="1" t="s">
        <v>34</v>
      </c>
      <c r="Z233" s="1">
        <v>61.2</v>
      </c>
      <c r="AA233" s="1" t="s">
        <v>67</v>
      </c>
    </row>
    <row r="234" spans="1:27" x14ac:dyDescent="0.25">
      <c r="A234" s="1">
        <f t="shared" si="5"/>
        <v>230</v>
      </c>
      <c r="B234" s="1">
        <v>439.9010358958987</v>
      </c>
      <c r="C234" s="1">
        <v>819.67199999999991</v>
      </c>
      <c r="D234" s="1">
        <v>-14.5650894226888</v>
      </c>
      <c r="E234" s="1">
        <v>11.8</v>
      </c>
      <c r="F234" s="1" t="s">
        <v>24</v>
      </c>
      <c r="G234" s="1" t="s">
        <v>19</v>
      </c>
      <c r="H234" s="1">
        <v>1083</v>
      </c>
      <c r="I234" s="1" t="s">
        <v>34</v>
      </c>
      <c r="J234" s="1">
        <v>75.3</v>
      </c>
      <c r="K234" s="1" t="s">
        <v>44</v>
      </c>
      <c r="R234" s="1">
        <v>372.54803589589869</v>
      </c>
      <c r="S234" s="1">
        <v>983.60639999999989</v>
      </c>
      <c r="T234" s="1">
        <v>-14.5650894226888</v>
      </c>
      <c r="U234" s="1">
        <v>11.8</v>
      </c>
      <c r="V234" s="1" t="s">
        <v>24</v>
      </c>
      <c r="W234" s="1" t="s">
        <v>19</v>
      </c>
      <c r="X234" s="1">
        <v>1083</v>
      </c>
      <c r="Y234" s="1" t="s">
        <v>34</v>
      </c>
      <c r="Z234" s="1">
        <v>67.77</v>
      </c>
      <c r="AA234" s="1" t="s">
        <v>67</v>
      </c>
    </row>
    <row r="235" spans="1:27" x14ac:dyDescent="0.25">
      <c r="A235" s="1">
        <f t="shared" si="5"/>
        <v>231</v>
      </c>
      <c r="B235" s="1">
        <v>370.30292441592889</v>
      </c>
      <c r="C235" s="1">
        <v>741.89400000000001</v>
      </c>
      <c r="D235" s="1">
        <v>19.24144847049746</v>
      </c>
      <c r="F235" s="1" t="s">
        <v>24</v>
      </c>
      <c r="G235" s="1" t="s">
        <v>19</v>
      </c>
      <c r="H235" s="1">
        <v>967</v>
      </c>
      <c r="I235" s="1" t="s">
        <v>34</v>
      </c>
      <c r="J235" s="1">
        <v>75.599999999999994</v>
      </c>
      <c r="K235" s="1" t="s">
        <v>44</v>
      </c>
      <c r="R235" s="1">
        <v>302.94992441592888</v>
      </c>
      <c r="S235" s="1">
        <v>890.27279999999996</v>
      </c>
      <c r="T235" s="1">
        <v>19.24144847049746</v>
      </c>
      <c r="V235" s="1" t="s">
        <v>24</v>
      </c>
      <c r="W235" s="1" t="s">
        <v>19</v>
      </c>
      <c r="X235" s="1">
        <v>967</v>
      </c>
      <c r="Y235" s="1" t="s">
        <v>34</v>
      </c>
      <c r="Z235" s="1">
        <v>68.039999999999992</v>
      </c>
      <c r="AA235" s="1" t="s">
        <v>67</v>
      </c>
    </row>
    <row r="236" spans="1:27" x14ac:dyDescent="0.25">
      <c r="A236" s="1">
        <f t="shared" si="5"/>
        <v>232</v>
      </c>
      <c r="B236" s="1">
        <v>370.30292441592889</v>
      </c>
      <c r="C236" s="1" t="s">
        <v>47</v>
      </c>
      <c r="D236" s="1">
        <v>-1217.2485515295025</v>
      </c>
      <c r="F236" s="1" t="s">
        <v>36</v>
      </c>
      <c r="G236" s="1" t="s">
        <v>17</v>
      </c>
      <c r="H236" s="1">
        <v>967</v>
      </c>
      <c r="I236" s="1" t="s">
        <v>34</v>
      </c>
      <c r="J236" s="1">
        <v>75.599999999999994</v>
      </c>
      <c r="K236" s="1" t="s">
        <v>44</v>
      </c>
      <c r="R236" s="1">
        <v>302.94992441592888</v>
      </c>
      <c r="S236" s="1" t="e">
        <v>#VALUE!</v>
      </c>
      <c r="T236" s="1">
        <v>-1217.2485515295025</v>
      </c>
      <c r="V236" s="1" t="s">
        <v>36</v>
      </c>
      <c r="W236" s="1" t="s">
        <v>17</v>
      </c>
      <c r="X236" s="1">
        <v>967</v>
      </c>
      <c r="Y236" s="1" t="s">
        <v>34</v>
      </c>
      <c r="Z236" s="1">
        <v>68.039999999999992</v>
      </c>
      <c r="AA236" s="1" t="s">
        <v>67</v>
      </c>
    </row>
    <row r="237" spans="1:27" x14ac:dyDescent="0.25">
      <c r="A237" s="1">
        <f t="shared" si="5"/>
        <v>233</v>
      </c>
      <c r="B237" s="1">
        <v>430.18126259581271</v>
      </c>
      <c r="C237" s="1" t="s">
        <v>47</v>
      </c>
      <c r="D237" s="1">
        <v>-1357.8602445599099</v>
      </c>
      <c r="F237" s="1" t="s">
        <v>22</v>
      </c>
      <c r="G237" s="1" t="s">
        <v>17</v>
      </c>
      <c r="H237" s="1">
        <v>1066.8</v>
      </c>
      <c r="I237" s="1" t="s">
        <v>34</v>
      </c>
      <c r="K237" s="1" t="s">
        <v>44</v>
      </c>
      <c r="R237" s="1">
        <v>362.8282625958127</v>
      </c>
      <c r="S237" s="1" t="e">
        <v>#VALUE!</v>
      </c>
      <c r="T237" s="1">
        <v>-1357.8602445599099</v>
      </c>
      <c r="V237" s="1" t="s">
        <v>22</v>
      </c>
      <c r="W237" s="1" t="s">
        <v>17</v>
      </c>
      <c r="X237" s="1">
        <v>1066.8</v>
      </c>
      <c r="Y237" s="1" t="s">
        <v>34</v>
      </c>
      <c r="Z237" s="1">
        <v>0</v>
      </c>
      <c r="AA237" s="1" t="s">
        <v>67</v>
      </c>
    </row>
    <row r="238" spans="1:27" x14ac:dyDescent="0.25">
      <c r="A238" s="1">
        <f t="shared" si="5"/>
        <v>234</v>
      </c>
      <c r="B238" s="1">
        <v>429.94127096719274</v>
      </c>
      <c r="C238" s="1" t="s">
        <v>47</v>
      </c>
      <c r="D238" s="1">
        <v>-1357.2966746573516</v>
      </c>
      <c r="F238" s="1" t="s">
        <v>22</v>
      </c>
      <c r="G238" s="1" t="s">
        <v>17</v>
      </c>
      <c r="H238" s="1">
        <v>1066.4000000000001</v>
      </c>
      <c r="I238" s="1" t="s">
        <v>34</v>
      </c>
      <c r="J238" s="1">
        <v>76.099999999999994</v>
      </c>
      <c r="K238" s="1" t="s">
        <v>44</v>
      </c>
      <c r="R238" s="1">
        <v>362.58827096719273</v>
      </c>
      <c r="S238" s="1" t="e">
        <v>#VALUE!</v>
      </c>
      <c r="T238" s="1">
        <v>-1357.2966746573516</v>
      </c>
      <c r="V238" s="1" t="s">
        <v>22</v>
      </c>
      <c r="W238" s="1" t="s">
        <v>17</v>
      </c>
      <c r="X238" s="1">
        <v>1066.4000000000001</v>
      </c>
      <c r="Y238" s="1" t="s">
        <v>34</v>
      </c>
      <c r="Z238" s="1">
        <v>68.489999999999995</v>
      </c>
      <c r="AA238" s="1" t="s">
        <v>67</v>
      </c>
    </row>
    <row r="239" spans="1:27" x14ac:dyDescent="0.25">
      <c r="A239" s="1">
        <f t="shared" si="5"/>
        <v>235</v>
      </c>
      <c r="B239" s="1">
        <v>427.18137056101676</v>
      </c>
      <c r="C239" s="1" t="s">
        <v>47</v>
      </c>
      <c r="D239" s="1">
        <v>-1350.8156285811917</v>
      </c>
      <c r="F239" s="1" t="s">
        <v>22</v>
      </c>
      <c r="G239" s="1" t="s">
        <v>17</v>
      </c>
      <c r="H239" s="1">
        <v>1061.8</v>
      </c>
      <c r="I239" s="1" t="s">
        <v>34</v>
      </c>
      <c r="J239" s="1">
        <v>76.400000000000006</v>
      </c>
      <c r="K239" s="1" t="s">
        <v>44</v>
      </c>
      <c r="R239" s="1">
        <v>359.82837056101675</v>
      </c>
      <c r="S239" s="1" t="e">
        <v>#VALUE!</v>
      </c>
      <c r="T239" s="1">
        <v>-1350.8156285811917</v>
      </c>
      <c r="V239" s="1" t="s">
        <v>22</v>
      </c>
      <c r="W239" s="1" t="s">
        <v>17</v>
      </c>
      <c r="X239" s="1">
        <v>1061.8</v>
      </c>
      <c r="Y239" s="1" t="s">
        <v>34</v>
      </c>
      <c r="Z239" s="1">
        <v>68.760000000000005</v>
      </c>
      <c r="AA239" s="1" t="s">
        <v>67</v>
      </c>
    </row>
    <row r="240" spans="1:27" x14ac:dyDescent="0.25">
      <c r="A240" s="1">
        <f t="shared" si="5"/>
        <v>236</v>
      </c>
      <c r="B240" s="1">
        <v>150.3519462880237</v>
      </c>
      <c r="C240" s="1" t="s">
        <v>47</v>
      </c>
      <c r="D240" s="1">
        <v>-700.73990485752392</v>
      </c>
      <c r="F240" s="1" t="s">
        <v>22</v>
      </c>
      <c r="G240" s="1" t="s">
        <v>17</v>
      </c>
      <c r="H240" s="1">
        <v>600.4</v>
      </c>
      <c r="I240" s="1" t="s">
        <v>34</v>
      </c>
      <c r="J240" s="1">
        <v>63.8</v>
      </c>
      <c r="K240" s="1" t="s">
        <v>44</v>
      </c>
      <c r="R240" s="1">
        <v>82.998946288023703</v>
      </c>
      <c r="S240" s="1" t="e">
        <v>#VALUE!</v>
      </c>
      <c r="T240" s="1">
        <v>-700.73990485752392</v>
      </c>
      <c r="V240" s="1" t="s">
        <v>22</v>
      </c>
      <c r="W240" s="1" t="s">
        <v>17</v>
      </c>
      <c r="X240" s="1">
        <v>600.4</v>
      </c>
      <c r="Y240" s="1" t="s">
        <v>34</v>
      </c>
      <c r="Z240" s="1">
        <v>57.42</v>
      </c>
      <c r="AA240" s="1" t="s">
        <v>67</v>
      </c>
    </row>
    <row r="241" spans="1:27" x14ac:dyDescent="0.25">
      <c r="A241" s="1">
        <f t="shared" si="5"/>
        <v>237</v>
      </c>
      <c r="B241" s="1">
        <v>150.11195323828241</v>
      </c>
      <c r="C241" s="1" t="s">
        <v>47</v>
      </c>
      <c r="D241" s="1">
        <v>-700.17633161776098</v>
      </c>
      <c r="F241" s="1" t="s">
        <v>22</v>
      </c>
      <c r="G241" s="1" t="s">
        <v>17</v>
      </c>
      <c r="H241" s="1">
        <v>600</v>
      </c>
      <c r="I241" s="1" t="s">
        <v>34</v>
      </c>
      <c r="J241" s="1">
        <v>62.7</v>
      </c>
      <c r="K241" s="1" t="s">
        <v>44</v>
      </c>
      <c r="R241" s="1">
        <v>82.758953238282416</v>
      </c>
      <c r="S241" s="1" t="e">
        <v>#VALUE!</v>
      </c>
      <c r="T241" s="1">
        <v>-700.17633161776098</v>
      </c>
      <c r="V241" s="1" t="s">
        <v>22</v>
      </c>
      <c r="W241" s="1" t="s">
        <v>17</v>
      </c>
      <c r="X241" s="1">
        <v>600</v>
      </c>
      <c r="Y241" s="1" t="s">
        <v>34</v>
      </c>
      <c r="Z241" s="1">
        <v>56.43</v>
      </c>
      <c r="AA241" s="1" t="s">
        <v>67</v>
      </c>
    </row>
    <row r="242" spans="1:27" x14ac:dyDescent="0.25">
      <c r="A242" s="1">
        <f t="shared" si="5"/>
        <v>238</v>
      </c>
      <c r="B242" s="1">
        <v>145.79208894982992</v>
      </c>
      <c r="C242" s="1" t="s">
        <v>47</v>
      </c>
      <c r="D242" s="1">
        <v>-690.0320382100831</v>
      </c>
      <c r="F242" s="1" t="s">
        <v>22</v>
      </c>
      <c r="G242" s="1" t="s">
        <v>17</v>
      </c>
      <c r="H242" s="1">
        <v>592.79999999999995</v>
      </c>
      <c r="I242" s="1" t="s">
        <v>34</v>
      </c>
      <c r="J242" s="1">
        <v>62.7</v>
      </c>
      <c r="K242" s="1" t="s">
        <v>44</v>
      </c>
      <c r="R242" s="1">
        <v>78.439088949829923</v>
      </c>
      <c r="S242" s="1" t="e">
        <v>#VALUE!</v>
      </c>
      <c r="T242" s="1">
        <v>-690.0320382100831</v>
      </c>
      <c r="V242" s="1" t="s">
        <v>22</v>
      </c>
      <c r="W242" s="1" t="s">
        <v>17</v>
      </c>
      <c r="X242" s="1">
        <v>592.79999999999995</v>
      </c>
      <c r="Y242" s="1" t="s">
        <v>34</v>
      </c>
      <c r="Z242" s="1">
        <v>56.43</v>
      </c>
      <c r="AA242" s="1" t="s">
        <v>67</v>
      </c>
    </row>
    <row r="243" spans="1:27" x14ac:dyDescent="0.25">
      <c r="A243" s="1">
        <f t="shared" si="5"/>
        <v>239</v>
      </c>
      <c r="B243" s="1">
        <v>137.27236823223532</v>
      </c>
      <c r="C243" s="1" t="s">
        <v>47</v>
      </c>
      <c r="D243" s="1">
        <v>-670.02526463115862</v>
      </c>
      <c r="F243" s="1" t="s">
        <v>22</v>
      </c>
      <c r="G243" s="1" t="s">
        <v>17</v>
      </c>
      <c r="H243" s="1">
        <v>578.6</v>
      </c>
      <c r="I243" s="1" t="s">
        <v>34</v>
      </c>
      <c r="J243" s="1">
        <v>62.1</v>
      </c>
      <c r="K243" s="1" t="s">
        <v>44</v>
      </c>
      <c r="R243" s="1">
        <v>69.919368232235328</v>
      </c>
      <c r="S243" s="1" t="e">
        <v>#VALUE!</v>
      </c>
      <c r="T243" s="1">
        <v>-670.02526463115862</v>
      </c>
      <c r="V243" s="1" t="s">
        <v>22</v>
      </c>
      <c r="W243" s="1" t="s">
        <v>17</v>
      </c>
      <c r="X243" s="1">
        <v>578.6</v>
      </c>
      <c r="Y243" s="1" t="s">
        <v>34</v>
      </c>
      <c r="Z243" s="1">
        <v>55.89</v>
      </c>
      <c r="AA243" s="1" t="s">
        <v>67</v>
      </c>
    </row>
    <row r="244" spans="1:27" x14ac:dyDescent="0.25">
      <c r="A244" s="1">
        <f t="shared" si="5"/>
        <v>240</v>
      </c>
      <c r="B244" s="1">
        <v>137.57236104345972</v>
      </c>
      <c r="C244" s="1" t="s">
        <v>47</v>
      </c>
      <c r="D244" s="1">
        <v>-670.72973470106081</v>
      </c>
      <c r="F244" s="1" t="s">
        <v>22</v>
      </c>
      <c r="G244" s="1" t="s">
        <v>17</v>
      </c>
      <c r="H244" s="1">
        <v>579.1</v>
      </c>
      <c r="I244" s="1" t="s">
        <v>34</v>
      </c>
      <c r="J244" s="1">
        <v>62</v>
      </c>
      <c r="K244" s="1" t="s">
        <v>44</v>
      </c>
      <c r="R244" s="1">
        <v>70.219361043459728</v>
      </c>
      <c r="S244" s="1" t="e">
        <v>#VALUE!</v>
      </c>
      <c r="T244" s="1">
        <v>-670.72973470106081</v>
      </c>
      <c r="V244" s="1" t="s">
        <v>22</v>
      </c>
      <c r="W244" s="1" t="s">
        <v>17</v>
      </c>
      <c r="X244" s="1">
        <v>579.1</v>
      </c>
      <c r="Y244" s="1" t="s">
        <v>34</v>
      </c>
      <c r="Z244" s="1">
        <v>55.8</v>
      </c>
      <c r="AA244" s="1" t="s">
        <v>67</v>
      </c>
    </row>
    <row r="245" spans="1:27" x14ac:dyDescent="0.25">
      <c r="A245" s="1">
        <f t="shared" si="5"/>
        <v>241</v>
      </c>
      <c r="B245" s="1">
        <v>127.9724861476448</v>
      </c>
      <c r="C245" s="1" t="s">
        <v>47</v>
      </c>
      <c r="D245" s="1">
        <v>-648.18644604255678</v>
      </c>
      <c r="F245" s="1" t="s">
        <v>22</v>
      </c>
      <c r="G245" s="1" t="s">
        <v>17</v>
      </c>
      <c r="H245" s="1">
        <v>563.1</v>
      </c>
      <c r="I245" s="1" t="s">
        <v>34</v>
      </c>
      <c r="J245" s="1">
        <v>61.8</v>
      </c>
      <c r="K245" s="1" t="s">
        <v>44</v>
      </c>
      <c r="R245" s="1">
        <v>60.619486147644807</v>
      </c>
      <c r="S245" s="1" t="e">
        <v>#VALUE!</v>
      </c>
      <c r="T245" s="1">
        <v>-648.18644604255678</v>
      </c>
      <c r="V245" s="1" t="s">
        <v>22</v>
      </c>
      <c r="W245" s="1" t="s">
        <v>17</v>
      </c>
      <c r="X245" s="1">
        <v>563.1</v>
      </c>
      <c r="Y245" s="1" t="s">
        <v>34</v>
      </c>
      <c r="Z245" s="1">
        <v>55.62</v>
      </c>
      <c r="AA245" s="1" t="s">
        <v>67</v>
      </c>
    </row>
    <row r="246" spans="1:27" x14ac:dyDescent="0.25">
      <c r="A246" s="1">
        <f t="shared" si="5"/>
        <v>242</v>
      </c>
      <c r="B246" s="1">
        <v>128.15248535323838</v>
      </c>
      <c r="C246" s="1" t="s">
        <v>47</v>
      </c>
      <c r="D246" s="1">
        <v>-648.60913634779888</v>
      </c>
      <c r="F246" s="1" t="s">
        <v>27</v>
      </c>
      <c r="G246" s="1" t="s">
        <v>17</v>
      </c>
      <c r="H246" s="1">
        <v>563.4</v>
      </c>
      <c r="I246" s="1" t="s">
        <v>34</v>
      </c>
      <c r="J246" s="1">
        <v>61.5</v>
      </c>
      <c r="K246" s="1" t="s">
        <v>44</v>
      </c>
      <c r="R246" s="1">
        <v>60.799485353238381</v>
      </c>
      <c r="S246" s="1" t="e">
        <v>#VALUE!</v>
      </c>
      <c r="T246" s="1">
        <v>-648.60913634779888</v>
      </c>
      <c r="V246" s="1" t="s">
        <v>27</v>
      </c>
      <c r="W246" s="1" t="s">
        <v>17</v>
      </c>
      <c r="X246" s="1">
        <v>563.4</v>
      </c>
      <c r="Y246" s="1" t="s">
        <v>34</v>
      </c>
      <c r="Z246" s="1">
        <v>55.35</v>
      </c>
      <c r="AA246" s="1" t="s">
        <v>67</v>
      </c>
    </row>
    <row r="247" spans="1:27" x14ac:dyDescent="0.25">
      <c r="A247" s="1">
        <f t="shared" si="5"/>
        <v>243</v>
      </c>
      <c r="B247" s="1">
        <v>118.91251825680017</v>
      </c>
      <c r="C247" s="1" t="s">
        <v>47</v>
      </c>
      <c r="D247" s="1">
        <v>-626.91101551698534</v>
      </c>
      <c r="F247" s="1" t="s">
        <v>22</v>
      </c>
      <c r="G247" s="1" t="s">
        <v>17</v>
      </c>
      <c r="H247" s="1">
        <v>548</v>
      </c>
      <c r="I247" s="1" t="s">
        <v>34</v>
      </c>
      <c r="J247" s="1">
        <v>60.1</v>
      </c>
      <c r="K247" s="1" t="s">
        <v>44</v>
      </c>
      <c r="R247" s="1">
        <v>51.559518256800175</v>
      </c>
      <c r="S247" s="1" t="e">
        <v>#VALUE!</v>
      </c>
      <c r="T247" s="1">
        <v>-626.91101551698534</v>
      </c>
      <c r="V247" s="1" t="s">
        <v>22</v>
      </c>
      <c r="W247" s="1" t="s">
        <v>17</v>
      </c>
      <c r="X247" s="1">
        <v>548</v>
      </c>
      <c r="Y247" s="1" t="s">
        <v>34</v>
      </c>
      <c r="Z247" s="1">
        <v>54.09</v>
      </c>
      <c r="AA247" s="1" t="s">
        <v>67</v>
      </c>
    </row>
    <row r="248" spans="1:27" x14ac:dyDescent="0.25">
      <c r="A248" s="1">
        <f t="shared" si="5"/>
        <v>244</v>
      </c>
      <c r="B248" s="1">
        <v>119.21251771800171</v>
      </c>
      <c r="C248" s="1" t="s">
        <v>47</v>
      </c>
      <c r="D248" s="1">
        <v>-627.61550120296135</v>
      </c>
      <c r="F248" s="1" t="s">
        <v>22</v>
      </c>
      <c r="G248" s="1" t="s">
        <v>17</v>
      </c>
      <c r="H248" s="1">
        <v>548.5</v>
      </c>
      <c r="I248" s="1" t="s">
        <v>34</v>
      </c>
      <c r="J248" s="1">
        <v>60.5</v>
      </c>
      <c r="K248" s="1" t="s">
        <v>44</v>
      </c>
      <c r="R248" s="1">
        <v>51.859517718001712</v>
      </c>
      <c r="S248" s="1" t="e">
        <v>#VALUE!</v>
      </c>
      <c r="T248" s="1">
        <v>-627.61550120296135</v>
      </c>
      <c r="V248" s="1" t="s">
        <v>22</v>
      </c>
      <c r="W248" s="1" t="s">
        <v>17</v>
      </c>
      <c r="X248" s="1">
        <v>548.5</v>
      </c>
      <c r="Y248" s="1" t="s">
        <v>34</v>
      </c>
      <c r="Z248" s="1">
        <v>54.45</v>
      </c>
      <c r="AA248" s="1" t="s">
        <v>67</v>
      </c>
    </row>
    <row r="249" spans="1:27" x14ac:dyDescent="0.25">
      <c r="A249" s="1">
        <f t="shared" si="5"/>
        <v>245</v>
      </c>
      <c r="B249" s="1">
        <v>115.79252396164922</v>
      </c>
      <c r="C249" s="1" t="s">
        <v>47</v>
      </c>
      <c r="D249" s="1">
        <v>-619.5843646208225</v>
      </c>
      <c r="F249" s="1" t="s">
        <v>22</v>
      </c>
      <c r="G249" s="1" t="s">
        <v>17</v>
      </c>
      <c r="H249" s="1">
        <v>542.79999999999995</v>
      </c>
      <c r="I249" s="1" t="s">
        <v>34</v>
      </c>
      <c r="J249" s="1">
        <v>60.4</v>
      </c>
      <c r="K249" s="1" t="s">
        <v>44</v>
      </c>
      <c r="R249" s="1">
        <v>48.439523961649229</v>
      </c>
      <c r="S249" s="1" t="e">
        <v>#VALUE!</v>
      </c>
      <c r="T249" s="1">
        <v>-619.5843646208225</v>
      </c>
      <c r="V249" s="1" t="s">
        <v>22</v>
      </c>
      <c r="W249" s="1" t="s">
        <v>17</v>
      </c>
      <c r="X249" s="1">
        <v>542.79999999999995</v>
      </c>
      <c r="Y249" s="1" t="s">
        <v>34</v>
      </c>
      <c r="Z249" s="1">
        <v>54.36</v>
      </c>
      <c r="AA249" s="1" t="s">
        <v>67</v>
      </c>
    </row>
    <row r="250" spans="1:27" x14ac:dyDescent="0.25">
      <c r="A250" s="1">
        <f t="shared" si="5"/>
        <v>246</v>
      </c>
      <c r="B250" s="1">
        <v>114.71252612253288</v>
      </c>
      <c r="C250" s="1" t="s">
        <v>47</v>
      </c>
      <c r="D250" s="1">
        <v>-617.04821667077226</v>
      </c>
      <c r="E250" s="1">
        <v>17.8</v>
      </c>
      <c r="F250" s="1" t="s">
        <v>22</v>
      </c>
      <c r="G250" s="1" t="s">
        <v>17</v>
      </c>
      <c r="H250" s="1">
        <v>541</v>
      </c>
      <c r="I250" s="1" t="s">
        <v>34</v>
      </c>
      <c r="J250" s="1">
        <v>60</v>
      </c>
      <c r="K250" s="1" t="s">
        <v>44</v>
      </c>
      <c r="R250" s="1">
        <v>47.359526122532884</v>
      </c>
      <c r="S250" s="1" t="e">
        <v>#VALUE!</v>
      </c>
      <c r="T250" s="1">
        <v>-617.04821667077226</v>
      </c>
      <c r="U250" s="1">
        <v>17.8</v>
      </c>
      <c r="V250" s="1" t="s">
        <v>22</v>
      </c>
      <c r="W250" s="1" t="s">
        <v>17</v>
      </c>
      <c r="X250" s="1">
        <v>541</v>
      </c>
      <c r="Y250" s="1" t="s">
        <v>34</v>
      </c>
      <c r="Z250" s="1">
        <v>54</v>
      </c>
      <c r="AA250" s="1" t="s">
        <v>67</v>
      </c>
    </row>
    <row r="251" spans="1:27" x14ac:dyDescent="0.25">
      <c r="A251" s="1">
        <f t="shared" si="5"/>
        <v>247</v>
      </c>
      <c r="B251" s="1">
        <v>158.78400459531127</v>
      </c>
      <c r="C251" s="1" t="s">
        <v>47</v>
      </c>
      <c r="D251" s="1">
        <v>-720.54082168919945</v>
      </c>
      <c r="F251" s="1" t="s">
        <v>22</v>
      </c>
      <c r="G251" s="1" t="s">
        <v>17</v>
      </c>
      <c r="H251" s="1">
        <v>592.45500000000004</v>
      </c>
      <c r="J251" s="1">
        <v>63.4</v>
      </c>
      <c r="K251" s="1" t="s">
        <v>46</v>
      </c>
      <c r="R251" s="1">
        <v>91.431004595311279</v>
      </c>
      <c r="S251" s="1" t="e">
        <v>#VALUE!</v>
      </c>
      <c r="T251" s="1">
        <v>-720.54082168919945</v>
      </c>
      <c r="V251" s="1" t="s">
        <v>22</v>
      </c>
      <c r="W251" s="1" t="s">
        <v>17</v>
      </c>
      <c r="X251" s="1">
        <v>592.45500000000004</v>
      </c>
      <c r="Z251" s="1">
        <v>57.06</v>
      </c>
      <c r="AA251" s="1" t="s">
        <v>68</v>
      </c>
    </row>
    <row r="252" spans="1:27" x14ac:dyDescent="0.25">
      <c r="A252" s="1">
        <f t="shared" si="5"/>
        <v>248</v>
      </c>
      <c r="B252" s="1">
        <v>158.69100593728197</v>
      </c>
      <c r="C252" s="1" t="s">
        <v>47</v>
      </c>
      <c r="D252" s="1">
        <v>-720.32243388565394</v>
      </c>
      <c r="F252" s="1" t="s">
        <v>22</v>
      </c>
      <c r="G252" s="1" t="s">
        <v>17</v>
      </c>
      <c r="H252" s="1">
        <v>592.29999999999995</v>
      </c>
      <c r="J252" s="1">
        <v>63.5</v>
      </c>
      <c r="K252" s="1" t="s">
        <v>46</v>
      </c>
      <c r="R252" s="1">
        <v>91.338005937281977</v>
      </c>
      <c r="S252" s="1" t="e">
        <v>#VALUE!</v>
      </c>
      <c r="T252" s="1">
        <v>-720.32243388565394</v>
      </c>
      <c r="V252" s="1" t="s">
        <v>22</v>
      </c>
      <c r="W252" s="1" t="s">
        <v>17</v>
      </c>
      <c r="X252" s="1">
        <v>592.29999999999995</v>
      </c>
      <c r="Z252" s="1">
        <v>57.15</v>
      </c>
      <c r="AA252" s="1" t="s">
        <v>68</v>
      </c>
    </row>
    <row r="253" spans="1:27" x14ac:dyDescent="0.25">
      <c r="A253" s="1">
        <f t="shared" si="5"/>
        <v>249</v>
      </c>
      <c r="B253" s="1">
        <v>165.96168551033136</v>
      </c>
      <c r="C253" s="1" t="s">
        <v>47</v>
      </c>
      <c r="D253" s="1">
        <v>-737.39609683830304</v>
      </c>
      <c r="F253" s="1" t="s">
        <v>22</v>
      </c>
      <c r="G253" s="1" t="s">
        <v>17</v>
      </c>
      <c r="H253" s="1">
        <v>604.41800000000001</v>
      </c>
      <c r="J253" s="1">
        <v>63.8</v>
      </c>
      <c r="K253" s="1" t="s">
        <v>46</v>
      </c>
      <c r="R253" s="1">
        <v>98.60868551033137</v>
      </c>
      <c r="S253" s="1" t="e">
        <v>#VALUE!</v>
      </c>
      <c r="T253" s="1">
        <v>-737.39609683830304</v>
      </c>
      <c r="V253" s="1" t="s">
        <v>22</v>
      </c>
      <c r="W253" s="1" t="s">
        <v>17</v>
      </c>
      <c r="X253" s="1">
        <v>604.41800000000001</v>
      </c>
      <c r="Z253" s="1">
        <v>57.42</v>
      </c>
      <c r="AA253" s="1" t="s">
        <v>68</v>
      </c>
    </row>
    <row r="254" spans="1:27" x14ac:dyDescent="0.25">
      <c r="A254" s="1">
        <f t="shared" si="5"/>
        <v>250</v>
      </c>
      <c r="B254" s="1">
        <v>165.65088998561274</v>
      </c>
      <c r="C254" s="1" t="s">
        <v>47</v>
      </c>
      <c r="D254" s="1">
        <v>-736.6662588660854</v>
      </c>
      <c r="F254" s="1" t="s">
        <v>22</v>
      </c>
      <c r="G254" s="1" t="s">
        <v>17</v>
      </c>
      <c r="H254" s="1">
        <v>603.9</v>
      </c>
      <c r="J254" s="1">
        <v>64</v>
      </c>
      <c r="K254" s="1" t="s">
        <v>46</v>
      </c>
      <c r="R254" s="1">
        <v>98.297889985612741</v>
      </c>
      <c r="S254" s="1" t="e">
        <v>#VALUE!</v>
      </c>
      <c r="T254" s="1">
        <v>-736.6662588660854</v>
      </c>
      <c r="V254" s="1" t="s">
        <v>22</v>
      </c>
      <c r="W254" s="1" t="s">
        <v>17</v>
      </c>
      <c r="X254" s="1">
        <v>603.9</v>
      </c>
      <c r="Z254" s="1">
        <v>57.6</v>
      </c>
      <c r="AA254" s="1" t="s">
        <v>68</v>
      </c>
    </row>
    <row r="255" spans="1:27" x14ac:dyDescent="0.25">
      <c r="A255" s="1">
        <f t="shared" si="5"/>
        <v>251</v>
      </c>
      <c r="B255" s="1">
        <v>171.76842561282265</v>
      </c>
      <c r="C255" s="1">
        <v>450.82799999999997</v>
      </c>
      <c r="D255" s="1">
        <v>0.34799439038175706</v>
      </c>
      <c r="E255" s="1">
        <v>73.7</v>
      </c>
      <c r="F255" s="1" t="s">
        <v>26</v>
      </c>
      <c r="G255" s="1" t="s">
        <v>25</v>
      </c>
      <c r="H255" s="1">
        <v>614.096</v>
      </c>
      <c r="J255" s="1">
        <v>64.3</v>
      </c>
      <c r="K255" s="1" t="s">
        <v>46</v>
      </c>
      <c r="R255" s="1">
        <v>104.41542561282266</v>
      </c>
      <c r="S255" s="1">
        <v>540.9935999999999</v>
      </c>
      <c r="T255" s="1">
        <v>0.34799439038175706</v>
      </c>
      <c r="U255" s="1">
        <v>73.7</v>
      </c>
      <c r="V255" s="1" t="s">
        <v>26</v>
      </c>
      <c r="W255" s="1" t="s">
        <v>25</v>
      </c>
      <c r="X255" s="1">
        <v>614.096</v>
      </c>
      <c r="Z255" s="1">
        <v>57.87</v>
      </c>
      <c r="AA255" s="1" t="s">
        <v>68</v>
      </c>
    </row>
    <row r="256" spans="1:27" x14ac:dyDescent="0.25">
      <c r="A256" s="1">
        <f t="shared" si="5"/>
        <v>252</v>
      </c>
      <c r="B256" s="1">
        <v>171.76842561282265</v>
      </c>
      <c r="C256" s="1">
        <v>450.98999999999995</v>
      </c>
      <c r="D256" s="1">
        <v>0.61799439038173887</v>
      </c>
      <c r="E256" s="1">
        <v>79.099999999999994</v>
      </c>
      <c r="F256" s="1" t="s">
        <v>24</v>
      </c>
      <c r="G256" s="1" t="s">
        <v>25</v>
      </c>
      <c r="H256" s="1">
        <v>614.096</v>
      </c>
      <c r="J256" s="1">
        <v>64.3</v>
      </c>
      <c r="K256" s="1" t="s">
        <v>46</v>
      </c>
      <c r="R256" s="1">
        <v>104.41542561282266</v>
      </c>
      <c r="S256" s="1">
        <v>541.18799999999987</v>
      </c>
      <c r="T256" s="1">
        <v>0.61799439038173887</v>
      </c>
      <c r="U256" s="1">
        <v>79.099999999999994</v>
      </c>
      <c r="V256" s="1" t="s">
        <v>24</v>
      </c>
      <c r="W256" s="1" t="s">
        <v>25</v>
      </c>
      <c r="X256" s="1">
        <v>614.096</v>
      </c>
      <c r="Z256" s="1">
        <v>57.87</v>
      </c>
      <c r="AA256" s="1" t="s">
        <v>68</v>
      </c>
    </row>
    <row r="257" spans="1:27" x14ac:dyDescent="0.25">
      <c r="A257" s="1">
        <f t="shared" si="5"/>
        <v>253</v>
      </c>
      <c r="B257" s="1">
        <v>171.76842561282265</v>
      </c>
      <c r="C257" s="1">
        <v>451.05599999999998</v>
      </c>
      <c r="D257" s="1">
        <v>0.72799439038175251</v>
      </c>
      <c r="E257" s="1">
        <v>83.9</v>
      </c>
      <c r="F257" s="1" t="s">
        <v>26</v>
      </c>
      <c r="G257" s="1" t="s">
        <v>19</v>
      </c>
      <c r="H257" s="1">
        <v>614.096</v>
      </c>
      <c r="J257" s="1">
        <v>64.400000000000006</v>
      </c>
      <c r="K257" s="1" t="s">
        <v>46</v>
      </c>
      <c r="R257" s="1">
        <v>104.41542561282266</v>
      </c>
      <c r="S257" s="1">
        <v>541.2672</v>
      </c>
      <c r="T257" s="1">
        <v>0.72799439038175251</v>
      </c>
      <c r="U257" s="1">
        <v>83.9</v>
      </c>
      <c r="V257" s="1" t="s">
        <v>26</v>
      </c>
      <c r="W257" s="1" t="s">
        <v>19</v>
      </c>
      <c r="X257" s="1">
        <v>614.096</v>
      </c>
      <c r="Z257" s="1">
        <v>57.960000000000008</v>
      </c>
      <c r="AA257" s="1" t="s">
        <v>68</v>
      </c>
    </row>
    <row r="258" spans="1:27" x14ac:dyDescent="0.25">
      <c r="A258" s="1">
        <f t="shared" si="5"/>
        <v>254</v>
      </c>
      <c r="B258" s="1">
        <v>178.90055994983427</v>
      </c>
      <c r="C258" s="1">
        <v>460.77600000000001</v>
      </c>
      <c r="D258" s="1">
        <v>0.17967580754537948</v>
      </c>
      <c r="E258" s="1">
        <v>247.4</v>
      </c>
      <c r="F258" s="1" t="s">
        <v>24</v>
      </c>
      <c r="G258" s="1" t="s">
        <v>19</v>
      </c>
      <c r="H258" s="1">
        <v>625.98299999999995</v>
      </c>
      <c r="J258" s="1">
        <v>64.5</v>
      </c>
      <c r="K258" s="1" t="s">
        <v>46</v>
      </c>
      <c r="R258" s="1">
        <v>111.54755994983428</v>
      </c>
      <c r="S258" s="1">
        <v>552.93119999999999</v>
      </c>
      <c r="T258" s="1">
        <v>0.17967580754537948</v>
      </c>
      <c r="U258" s="1">
        <v>247.4</v>
      </c>
      <c r="V258" s="1" t="s">
        <v>24</v>
      </c>
      <c r="W258" s="1" t="s">
        <v>19</v>
      </c>
      <c r="X258" s="1">
        <v>625.98299999999995</v>
      </c>
      <c r="Z258" s="1">
        <v>58.05</v>
      </c>
      <c r="AA258" s="1" t="s">
        <v>68</v>
      </c>
    </row>
    <row r="259" spans="1:27" x14ac:dyDescent="0.25">
      <c r="A259" s="1">
        <f t="shared" si="5"/>
        <v>255</v>
      </c>
      <c r="B259" s="1">
        <v>182.37510349076354</v>
      </c>
      <c r="C259" s="1">
        <v>465.74399999999997</v>
      </c>
      <c r="D259" s="1">
        <v>0.30044052065051119</v>
      </c>
      <c r="E259" s="1">
        <v>13.4</v>
      </c>
      <c r="F259" s="1" t="s">
        <v>26</v>
      </c>
      <c r="G259" s="1" t="s">
        <v>25</v>
      </c>
      <c r="H259" s="1">
        <v>631.774</v>
      </c>
      <c r="J259" s="1">
        <v>64.8</v>
      </c>
      <c r="K259" s="1" t="s">
        <v>46</v>
      </c>
      <c r="R259" s="1">
        <v>115.02210349076354</v>
      </c>
      <c r="S259" s="1">
        <v>558.89279999999997</v>
      </c>
      <c r="T259" s="1">
        <v>0.30044052065051119</v>
      </c>
      <c r="U259" s="1">
        <v>13.4</v>
      </c>
      <c r="V259" s="1" t="s">
        <v>26</v>
      </c>
      <c r="W259" s="1" t="s">
        <v>25</v>
      </c>
      <c r="X259" s="1">
        <v>631.774</v>
      </c>
      <c r="Z259" s="1">
        <v>58.32</v>
      </c>
      <c r="AA259" s="1" t="s">
        <v>68</v>
      </c>
    </row>
    <row r="260" spans="1:27" x14ac:dyDescent="0.25">
      <c r="A260" s="1">
        <f t="shared" si="5"/>
        <v>256</v>
      </c>
      <c r="B260" s="1">
        <v>182.37510349076354</v>
      </c>
      <c r="C260" s="1">
        <v>465.76799999999997</v>
      </c>
      <c r="D260" s="1">
        <v>0.34044052065047481</v>
      </c>
      <c r="E260" s="1">
        <v>13.6</v>
      </c>
      <c r="F260" s="1" t="s">
        <v>24</v>
      </c>
      <c r="G260" s="1" t="s">
        <v>19</v>
      </c>
      <c r="H260" s="1">
        <v>631.774</v>
      </c>
      <c r="J260" s="1">
        <v>64.8</v>
      </c>
      <c r="K260" s="1" t="s">
        <v>46</v>
      </c>
      <c r="R260" s="1">
        <v>115.02210349076354</v>
      </c>
      <c r="S260" s="1">
        <v>558.9215999999999</v>
      </c>
      <c r="T260" s="1">
        <v>0.34044052065047481</v>
      </c>
      <c r="U260" s="1">
        <v>13.6</v>
      </c>
      <c r="V260" s="1" t="s">
        <v>24</v>
      </c>
      <c r="W260" s="1" t="s">
        <v>19</v>
      </c>
      <c r="X260" s="1">
        <v>631.774</v>
      </c>
      <c r="Z260" s="1">
        <v>58.32</v>
      </c>
      <c r="AA260" s="1" t="s">
        <v>68</v>
      </c>
    </row>
    <row r="261" spans="1:27" x14ac:dyDescent="0.25">
      <c r="A261" s="1">
        <f t="shared" si="5"/>
        <v>257</v>
      </c>
      <c r="B261" s="1">
        <v>185.66723271475669</v>
      </c>
      <c r="C261" s="1">
        <v>470.53199999999998</v>
      </c>
      <c r="D261" s="1">
        <v>0.54956692041969291</v>
      </c>
      <c r="E261" s="1">
        <v>4.3</v>
      </c>
      <c r="F261" s="1" t="s">
        <v>26</v>
      </c>
      <c r="G261" s="1" t="s">
        <v>25</v>
      </c>
      <c r="H261" s="1">
        <v>637.26099999999997</v>
      </c>
      <c r="J261" s="1">
        <v>65</v>
      </c>
      <c r="K261" s="1" t="s">
        <v>46</v>
      </c>
      <c r="R261" s="1">
        <v>118.3142327147567</v>
      </c>
      <c r="S261" s="1">
        <v>564.63839999999993</v>
      </c>
      <c r="T261" s="1">
        <v>0.54956692041969291</v>
      </c>
      <c r="U261" s="1">
        <v>4.3</v>
      </c>
      <c r="V261" s="1" t="s">
        <v>26</v>
      </c>
      <c r="W261" s="1" t="s">
        <v>25</v>
      </c>
      <c r="X261" s="1">
        <v>637.26099999999997</v>
      </c>
      <c r="Z261" s="1">
        <v>58.5</v>
      </c>
      <c r="AA261" s="1" t="s">
        <v>68</v>
      </c>
    </row>
    <row r="262" spans="1:27" x14ac:dyDescent="0.25">
      <c r="A262" s="1">
        <f t="shared" ref="A262:A325" si="6">1+A261</f>
        <v>258</v>
      </c>
      <c r="B262" s="1">
        <v>195.40497874496307</v>
      </c>
      <c r="C262" s="1">
        <v>483.87</v>
      </c>
      <c r="D262" s="1">
        <v>-8.7483121851619217E-2</v>
      </c>
      <c r="E262" s="1">
        <v>260.60000000000002</v>
      </c>
      <c r="F262" s="1" t="s">
        <v>26</v>
      </c>
      <c r="G262" s="1" t="s">
        <v>19</v>
      </c>
      <c r="H262" s="1">
        <v>653.49099999999999</v>
      </c>
      <c r="J262" s="1">
        <v>65.3</v>
      </c>
      <c r="K262" s="1" t="s">
        <v>46</v>
      </c>
      <c r="R262" s="1">
        <v>128.05197874496309</v>
      </c>
      <c r="S262" s="1">
        <v>580.64400000000001</v>
      </c>
      <c r="T262" s="1">
        <v>-8.7483121851619217E-2</v>
      </c>
      <c r="U262" s="1">
        <v>260.60000000000002</v>
      </c>
      <c r="V262" s="1" t="s">
        <v>26</v>
      </c>
      <c r="W262" s="1" t="s">
        <v>19</v>
      </c>
      <c r="X262" s="1">
        <v>653.49099999999999</v>
      </c>
      <c r="Z262" s="1">
        <v>58.77</v>
      </c>
      <c r="AA262" s="1" t="s">
        <v>68</v>
      </c>
    </row>
    <row r="263" spans="1:27" x14ac:dyDescent="0.25">
      <c r="A263" s="1">
        <f t="shared" si="6"/>
        <v>259</v>
      </c>
      <c r="B263" s="1">
        <v>195.40497874496307</v>
      </c>
      <c r="C263" s="1">
        <v>483.84599999999995</v>
      </c>
      <c r="D263" s="1">
        <v>-0.12748312185169652</v>
      </c>
      <c r="E263" s="1">
        <v>101.9</v>
      </c>
      <c r="F263" s="1" t="s">
        <v>24</v>
      </c>
      <c r="G263" s="1" t="s">
        <v>25</v>
      </c>
      <c r="H263" s="1">
        <v>653.49099999999999</v>
      </c>
      <c r="J263" s="1">
        <v>65.400000000000006</v>
      </c>
      <c r="K263" s="1" t="s">
        <v>46</v>
      </c>
      <c r="R263" s="1">
        <v>128.05197874496309</v>
      </c>
      <c r="S263" s="1">
        <v>580.61519999999996</v>
      </c>
      <c r="T263" s="1">
        <v>-0.12748312185169652</v>
      </c>
      <c r="U263" s="1">
        <v>101.9</v>
      </c>
      <c r="V263" s="1" t="s">
        <v>24</v>
      </c>
      <c r="W263" s="1" t="s">
        <v>25</v>
      </c>
      <c r="X263" s="1">
        <v>653.49099999999999</v>
      </c>
      <c r="Z263" s="1">
        <v>58.860000000000007</v>
      </c>
      <c r="AA263" s="1" t="s">
        <v>68</v>
      </c>
    </row>
    <row r="264" spans="1:27" x14ac:dyDescent="0.25">
      <c r="A264" s="1">
        <f t="shared" si="6"/>
        <v>260</v>
      </c>
      <c r="B264" s="1">
        <v>195.40497874496307</v>
      </c>
      <c r="C264" s="1">
        <v>483.87</v>
      </c>
      <c r="D264" s="1">
        <v>-8.7483121851619217E-2</v>
      </c>
      <c r="E264" s="1">
        <v>104.3</v>
      </c>
      <c r="F264" s="1" t="s">
        <v>26</v>
      </c>
      <c r="G264" s="1" t="s">
        <v>25</v>
      </c>
      <c r="H264" s="1">
        <v>653.49099999999999</v>
      </c>
      <c r="J264" s="1">
        <v>65.400000000000006</v>
      </c>
      <c r="K264" s="1" t="s">
        <v>46</v>
      </c>
      <c r="R264" s="1">
        <v>128.05197874496309</v>
      </c>
      <c r="S264" s="1">
        <v>580.64400000000001</v>
      </c>
      <c r="T264" s="1">
        <v>-8.7483121851619217E-2</v>
      </c>
      <c r="U264" s="1">
        <v>104.3</v>
      </c>
      <c r="V264" s="1" t="s">
        <v>26</v>
      </c>
      <c r="W264" s="1" t="s">
        <v>25</v>
      </c>
      <c r="X264" s="1">
        <v>653.49099999999999</v>
      </c>
      <c r="Z264" s="1">
        <v>58.860000000000007</v>
      </c>
      <c r="AA264" s="1" t="s">
        <v>68</v>
      </c>
    </row>
    <row r="265" spans="1:27" x14ac:dyDescent="0.25">
      <c r="A265" s="1">
        <f t="shared" si="6"/>
        <v>261</v>
      </c>
      <c r="B265" s="1">
        <v>199.43025566242707</v>
      </c>
      <c r="C265" s="1">
        <v>489.62399999999997</v>
      </c>
      <c r="D265" s="1">
        <v>4.9999999999897682E-2</v>
      </c>
      <c r="E265" s="1">
        <v>3.1</v>
      </c>
      <c r="F265" s="1" t="s">
        <v>26</v>
      </c>
      <c r="G265" s="1" t="s">
        <v>25</v>
      </c>
      <c r="H265" s="1">
        <v>660.2</v>
      </c>
      <c r="J265" s="1">
        <v>65.900000000000006</v>
      </c>
      <c r="K265" s="1" t="s">
        <v>46</v>
      </c>
      <c r="R265" s="1">
        <v>132.07725566242709</v>
      </c>
      <c r="S265" s="1">
        <v>587.54879999999991</v>
      </c>
      <c r="T265" s="1">
        <v>4.9999999999897682E-2</v>
      </c>
      <c r="U265" s="1">
        <v>3.1</v>
      </c>
      <c r="V265" s="1" t="s">
        <v>26</v>
      </c>
      <c r="W265" s="1" t="s">
        <v>25</v>
      </c>
      <c r="X265" s="1">
        <v>660.2</v>
      </c>
      <c r="Z265" s="1">
        <v>59.310000000000009</v>
      </c>
      <c r="AA265" s="1" t="s">
        <v>68</v>
      </c>
    </row>
    <row r="266" spans="1:27" x14ac:dyDescent="0.25">
      <c r="A266" s="1">
        <f t="shared" si="6"/>
        <v>262</v>
      </c>
      <c r="B266" s="1">
        <v>199.43025566242707</v>
      </c>
      <c r="C266" s="1">
        <v>489.59399999999999</v>
      </c>
      <c r="D266" s="1">
        <v>-5.6843418860808015E-14</v>
      </c>
      <c r="E266" s="1">
        <v>3.5</v>
      </c>
      <c r="F266" s="1" t="s">
        <v>24</v>
      </c>
      <c r="G266" s="1" t="s">
        <v>19</v>
      </c>
      <c r="H266" s="1">
        <v>660.2</v>
      </c>
      <c r="J266" s="1">
        <v>66</v>
      </c>
      <c r="K266" s="1" t="s">
        <v>46</v>
      </c>
      <c r="R266" s="1">
        <v>132.07725566242709</v>
      </c>
      <c r="S266" s="1">
        <v>587.51279999999997</v>
      </c>
      <c r="T266" s="1">
        <v>-5.6843418860808015E-14</v>
      </c>
      <c r="U266" s="1">
        <v>3.5</v>
      </c>
      <c r="V266" s="1" t="s">
        <v>24</v>
      </c>
      <c r="W266" s="1" t="s">
        <v>19</v>
      </c>
      <c r="X266" s="1">
        <v>660.2</v>
      </c>
      <c r="Z266" s="1">
        <v>59.4</v>
      </c>
      <c r="AA266" s="1" t="s">
        <v>68</v>
      </c>
    </row>
    <row r="267" spans="1:27" x14ac:dyDescent="0.25">
      <c r="A267" s="1">
        <f t="shared" si="6"/>
        <v>263</v>
      </c>
      <c r="B267" s="1">
        <v>203.49752002143472</v>
      </c>
      <c r="C267" s="1">
        <v>495.25199999999995</v>
      </c>
      <c r="D267" s="1">
        <v>-0.1211155604254941</v>
      </c>
      <c r="E267" s="1">
        <v>51.5</v>
      </c>
      <c r="F267" s="1" t="s">
        <v>26</v>
      </c>
      <c r="G267" s="1" t="s">
        <v>25</v>
      </c>
      <c r="H267" s="1">
        <v>666.97900000000004</v>
      </c>
      <c r="J267" s="1">
        <v>66.099999999999994</v>
      </c>
      <c r="K267" s="1" t="s">
        <v>46</v>
      </c>
      <c r="R267" s="1">
        <v>136.14452002143474</v>
      </c>
      <c r="S267" s="1">
        <v>594.30239999999992</v>
      </c>
      <c r="T267" s="1">
        <v>-0.1211155604254941</v>
      </c>
      <c r="U267" s="1">
        <v>51.5</v>
      </c>
      <c r="V267" s="1" t="s">
        <v>26</v>
      </c>
      <c r="W267" s="1" t="s">
        <v>25</v>
      </c>
      <c r="X267" s="1">
        <v>666.97900000000004</v>
      </c>
      <c r="Z267" s="1">
        <v>59.489999999999988</v>
      </c>
      <c r="AA267" s="1" t="s">
        <v>68</v>
      </c>
    </row>
    <row r="268" spans="1:27" x14ac:dyDescent="0.25">
      <c r="A268" s="1">
        <f t="shared" si="6"/>
        <v>264</v>
      </c>
      <c r="B268" s="1">
        <v>203.49752002143472</v>
      </c>
      <c r="C268" s="1">
        <v>495.21600000000001</v>
      </c>
      <c r="D268" s="1">
        <v>-0.18111556042543953</v>
      </c>
      <c r="E268" s="1">
        <v>49.7</v>
      </c>
      <c r="F268" s="1" t="s">
        <v>24</v>
      </c>
      <c r="G268" s="1" t="s">
        <v>19</v>
      </c>
      <c r="H268" s="1">
        <v>666.97900000000004</v>
      </c>
      <c r="J268" s="1">
        <v>66.2</v>
      </c>
      <c r="K268" s="1" t="s">
        <v>46</v>
      </c>
      <c r="R268" s="1">
        <v>136.14452002143474</v>
      </c>
      <c r="S268" s="1">
        <v>594.25919999999996</v>
      </c>
      <c r="T268" s="1">
        <v>-0.18111556042543953</v>
      </c>
      <c r="U268" s="1">
        <v>49.7</v>
      </c>
      <c r="V268" s="1" t="s">
        <v>24</v>
      </c>
      <c r="W268" s="1" t="s">
        <v>19</v>
      </c>
      <c r="X268" s="1">
        <v>666.97900000000004</v>
      </c>
      <c r="Z268" s="1">
        <v>59.58</v>
      </c>
      <c r="AA268" s="1" t="s">
        <v>68</v>
      </c>
    </row>
    <row r="269" spans="1:27" x14ac:dyDescent="0.25">
      <c r="A269" s="1">
        <f t="shared" si="6"/>
        <v>265</v>
      </c>
      <c r="B269" s="1">
        <v>166.07088397183105</v>
      </c>
      <c r="C269" s="1" t="s">
        <v>47</v>
      </c>
      <c r="D269" s="1">
        <v>-737.65252647570651</v>
      </c>
      <c r="F269" s="1" t="s">
        <v>37</v>
      </c>
      <c r="G269" s="1" t="s">
        <v>17</v>
      </c>
      <c r="H269" s="1">
        <v>604.6</v>
      </c>
      <c r="J269" s="1">
        <v>67.400000000000006</v>
      </c>
      <c r="K269" s="1" t="s">
        <v>46</v>
      </c>
      <c r="R269" s="1">
        <v>98.717883971831057</v>
      </c>
      <c r="S269" s="1" t="e">
        <v>#VALUE!</v>
      </c>
      <c r="T269" s="1">
        <v>-737.65252647570651</v>
      </c>
      <c r="V269" s="1" t="s">
        <v>37</v>
      </c>
      <c r="W269" s="1" t="s">
        <v>17</v>
      </c>
      <c r="X269" s="1">
        <v>604.6</v>
      </c>
      <c r="Z269" s="1">
        <v>60.660000000000011</v>
      </c>
      <c r="AA269" s="1" t="s">
        <v>68</v>
      </c>
    </row>
    <row r="270" spans="1:27" x14ac:dyDescent="0.25">
      <c r="A270" s="1">
        <f t="shared" si="6"/>
        <v>266</v>
      </c>
      <c r="B270" s="1">
        <v>169.25084643014728</v>
      </c>
      <c r="C270" s="1">
        <v>447.09599999999995</v>
      </c>
      <c r="D270" s="1">
        <v>3.9999999999906777E-2</v>
      </c>
      <c r="E270" s="1">
        <v>561.6</v>
      </c>
      <c r="F270" s="1" t="s">
        <v>26</v>
      </c>
      <c r="G270" s="1" t="s">
        <v>25</v>
      </c>
      <c r="H270" s="1">
        <v>609.9</v>
      </c>
      <c r="J270" s="1">
        <v>66.900000000000006</v>
      </c>
      <c r="K270" s="1" t="s">
        <v>46</v>
      </c>
      <c r="R270" s="1">
        <v>101.89784643014728</v>
      </c>
      <c r="S270" s="1">
        <v>536.51519999999994</v>
      </c>
      <c r="T270" s="1">
        <v>3.9999999999906777E-2</v>
      </c>
      <c r="U270" s="1">
        <v>561.6</v>
      </c>
      <c r="V270" s="1" t="s">
        <v>26</v>
      </c>
      <c r="W270" s="1" t="s">
        <v>25</v>
      </c>
      <c r="X270" s="1">
        <v>609.9</v>
      </c>
      <c r="Z270" s="1">
        <v>60.210000000000008</v>
      </c>
      <c r="AA270" s="1" t="s">
        <v>68</v>
      </c>
    </row>
    <row r="271" spans="1:27" x14ac:dyDescent="0.25">
      <c r="A271" s="1">
        <f t="shared" si="6"/>
        <v>267</v>
      </c>
      <c r="B271" s="1">
        <v>169.25084643014728</v>
      </c>
      <c r="C271" s="1">
        <v>447.072</v>
      </c>
      <c r="D271" s="1">
        <v>-5.6843418860808015E-14</v>
      </c>
      <c r="E271" s="1">
        <v>600</v>
      </c>
      <c r="F271" s="1" t="s">
        <v>24</v>
      </c>
      <c r="G271" s="1" t="s">
        <v>19</v>
      </c>
      <c r="H271" s="1">
        <v>609.9</v>
      </c>
      <c r="J271" s="1">
        <v>66.900000000000006</v>
      </c>
      <c r="K271" s="1" t="s">
        <v>46</v>
      </c>
      <c r="R271" s="1">
        <v>101.89784643014728</v>
      </c>
      <c r="S271" s="1">
        <v>536.4864</v>
      </c>
      <c r="T271" s="1">
        <v>-5.6843418860808015E-14</v>
      </c>
      <c r="U271" s="1">
        <v>600</v>
      </c>
      <c r="V271" s="1" t="s">
        <v>24</v>
      </c>
      <c r="W271" s="1" t="s">
        <v>19</v>
      </c>
      <c r="X271" s="1">
        <v>609.9</v>
      </c>
      <c r="Z271" s="1">
        <v>60.210000000000008</v>
      </c>
      <c r="AA271" s="1" t="s">
        <v>68</v>
      </c>
    </row>
    <row r="272" spans="1:27" x14ac:dyDescent="0.25">
      <c r="A272" s="1">
        <f t="shared" si="6"/>
        <v>268</v>
      </c>
      <c r="B272" s="1">
        <v>169.25084643014728</v>
      </c>
      <c r="C272" s="1">
        <v>447.25799999999998</v>
      </c>
      <c r="D272" s="1">
        <v>0.30999999999988859</v>
      </c>
      <c r="E272" s="1">
        <v>2774</v>
      </c>
      <c r="F272" s="1" t="s">
        <v>36</v>
      </c>
      <c r="G272" s="1" t="s">
        <v>25</v>
      </c>
      <c r="H272" s="1">
        <v>609.9</v>
      </c>
      <c r="J272" s="1">
        <v>68.2</v>
      </c>
      <c r="K272" s="1" t="s">
        <v>46</v>
      </c>
      <c r="R272" s="1">
        <v>101.89784643014728</v>
      </c>
      <c r="S272" s="1">
        <v>536.70959999999991</v>
      </c>
      <c r="T272" s="1">
        <v>0.30999999999988859</v>
      </c>
      <c r="U272" s="1">
        <v>2774</v>
      </c>
      <c r="V272" s="1" t="s">
        <v>36</v>
      </c>
      <c r="W272" s="1" t="s">
        <v>25</v>
      </c>
      <c r="X272" s="1">
        <v>609.9</v>
      </c>
      <c r="Z272" s="1">
        <v>61.38</v>
      </c>
      <c r="AA272" s="1" t="s">
        <v>68</v>
      </c>
    </row>
    <row r="273" spans="1:27" x14ac:dyDescent="0.25">
      <c r="A273" s="1">
        <f t="shared" si="6"/>
        <v>269</v>
      </c>
      <c r="B273" s="1">
        <v>221.28159693181644</v>
      </c>
      <c r="C273" s="1">
        <v>520.2299999999999</v>
      </c>
      <c r="D273" s="1">
        <v>-0.25328263726402156</v>
      </c>
      <c r="E273" s="1">
        <v>79.099999999999994</v>
      </c>
      <c r="F273" s="1" t="s">
        <v>24</v>
      </c>
      <c r="G273" s="1" t="s">
        <v>19</v>
      </c>
      <c r="H273" s="1">
        <v>696.62</v>
      </c>
      <c r="J273" s="1">
        <v>69</v>
      </c>
      <c r="K273" s="1" t="s">
        <v>46</v>
      </c>
      <c r="R273" s="1">
        <v>153.92859693181646</v>
      </c>
      <c r="S273" s="1">
        <v>624.27599999999984</v>
      </c>
      <c r="T273" s="1">
        <v>-0.25328263726402156</v>
      </c>
      <c r="U273" s="1">
        <v>79.099999999999994</v>
      </c>
      <c r="V273" s="1" t="s">
        <v>24</v>
      </c>
      <c r="W273" s="1" t="s">
        <v>19</v>
      </c>
      <c r="X273" s="1">
        <v>696.62</v>
      </c>
      <c r="Z273" s="1">
        <v>62.1</v>
      </c>
      <c r="AA273" s="1" t="s">
        <v>68</v>
      </c>
    </row>
    <row r="274" spans="1:27" x14ac:dyDescent="0.25">
      <c r="A274" s="1">
        <f t="shared" si="6"/>
        <v>270</v>
      </c>
      <c r="B274" s="1">
        <v>236.32324704764005</v>
      </c>
      <c r="C274" s="1">
        <v>542.44799999999998</v>
      </c>
      <c r="D274" s="1">
        <v>1.4545632574718752</v>
      </c>
      <c r="E274" s="1">
        <v>25.1</v>
      </c>
      <c r="F274" s="1" t="s">
        <v>24</v>
      </c>
      <c r="G274" s="1" t="s">
        <v>19</v>
      </c>
      <c r="H274" s="1">
        <v>721.69</v>
      </c>
      <c r="J274" s="1">
        <v>68.900000000000006</v>
      </c>
      <c r="K274" s="1" t="s">
        <v>46</v>
      </c>
      <c r="R274" s="1">
        <v>168.97024704764004</v>
      </c>
      <c r="S274" s="1">
        <v>650.93759999999997</v>
      </c>
      <c r="T274" s="1">
        <v>1.4545632574718752</v>
      </c>
      <c r="U274" s="1">
        <v>25.1</v>
      </c>
      <c r="V274" s="1" t="s">
        <v>24</v>
      </c>
      <c r="W274" s="1" t="s">
        <v>19</v>
      </c>
      <c r="X274" s="1">
        <v>721.69</v>
      </c>
      <c r="Z274" s="1">
        <v>62.010000000000012</v>
      </c>
      <c r="AA274" s="1" t="s">
        <v>68</v>
      </c>
    </row>
    <row r="275" spans="1:27" x14ac:dyDescent="0.25">
      <c r="A275" s="1">
        <f t="shared" si="6"/>
        <v>271</v>
      </c>
      <c r="B275" s="1">
        <v>238.5179797385008</v>
      </c>
      <c r="C275" s="1">
        <v>544.86599999999999</v>
      </c>
      <c r="D275" s="1">
        <v>0.33069478363375993</v>
      </c>
      <c r="E275" s="1">
        <v>17</v>
      </c>
      <c r="F275" s="1" t="s">
        <v>26</v>
      </c>
      <c r="G275" s="1" t="s">
        <v>25</v>
      </c>
      <c r="H275" s="1">
        <v>725.34799999999996</v>
      </c>
      <c r="J275" s="1">
        <v>68.900000000000006</v>
      </c>
      <c r="K275" s="1" t="s">
        <v>46</v>
      </c>
      <c r="R275" s="1">
        <v>171.16497973850079</v>
      </c>
      <c r="S275" s="1">
        <v>653.83920000000001</v>
      </c>
      <c r="T275" s="1">
        <v>0.33069478363375993</v>
      </c>
      <c r="U275" s="1">
        <v>17</v>
      </c>
      <c r="V275" s="1" t="s">
        <v>26</v>
      </c>
      <c r="W275" s="1" t="s">
        <v>25</v>
      </c>
      <c r="X275" s="1">
        <v>725.34799999999996</v>
      </c>
      <c r="Z275" s="1">
        <v>62.010000000000012</v>
      </c>
      <c r="AA275" s="1" t="s">
        <v>68</v>
      </c>
    </row>
    <row r="276" spans="1:27" x14ac:dyDescent="0.25">
      <c r="A276" s="1">
        <f t="shared" si="6"/>
        <v>272</v>
      </c>
      <c r="B276" s="1">
        <v>238.5179797385008</v>
      </c>
      <c r="C276" s="1">
        <v>544.81200000000001</v>
      </c>
      <c r="D276" s="1">
        <v>0.24069478363372809</v>
      </c>
      <c r="E276" s="1">
        <v>16.2</v>
      </c>
      <c r="F276" s="1" t="s">
        <v>24</v>
      </c>
      <c r="G276" s="1" t="s">
        <v>19</v>
      </c>
      <c r="H276" s="1">
        <v>725.34799999999996</v>
      </c>
      <c r="J276" s="1">
        <v>68.900000000000006</v>
      </c>
      <c r="K276" s="1" t="s">
        <v>46</v>
      </c>
      <c r="R276" s="1">
        <v>171.16497973850079</v>
      </c>
      <c r="S276" s="1">
        <v>653.77440000000001</v>
      </c>
      <c r="T276" s="1">
        <v>0.24069478363372809</v>
      </c>
      <c r="U276" s="1">
        <v>16.2</v>
      </c>
      <c r="V276" s="1" t="s">
        <v>24</v>
      </c>
      <c r="W276" s="1" t="s">
        <v>19</v>
      </c>
      <c r="X276" s="1">
        <v>725.34799999999996</v>
      </c>
      <c r="Z276" s="1">
        <v>62.010000000000012</v>
      </c>
      <c r="AA276" s="1" t="s">
        <v>68</v>
      </c>
    </row>
    <row r="277" spans="1:27" x14ac:dyDescent="0.25">
      <c r="A277" s="1">
        <f t="shared" si="6"/>
        <v>273</v>
      </c>
      <c r="B277" s="1">
        <v>238.5179797385008</v>
      </c>
      <c r="C277" s="1">
        <v>544.88400000000001</v>
      </c>
      <c r="D277" s="1">
        <v>0.36069478363373264</v>
      </c>
      <c r="E277" s="1">
        <v>17.100000000000001</v>
      </c>
      <c r="F277" s="1" t="s">
        <v>26</v>
      </c>
      <c r="G277" s="1" t="s">
        <v>25</v>
      </c>
      <c r="H277" s="1">
        <v>725.34799999999996</v>
      </c>
      <c r="J277" s="1">
        <v>68.900000000000006</v>
      </c>
      <c r="K277" s="1" t="s">
        <v>46</v>
      </c>
      <c r="R277" s="1">
        <v>171.16497973850079</v>
      </c>
      <c r="S277" s="1">
        <v>653.86080000000004</v>
      </c>
      <c r="T277" s="1">
        <v>0.36069478363373264</v>
      </c>
      <c r="U277" s="1">
        <v>17.100000000000001</v>
      </c>
      <c r="V277" s="1" t="s">
        <v>26</v>
      </c>
      <c r="W277" s="1" t="s">
        <v>25</v>
      </c>
      <c r="X277" s="1">
        <v>725.34799999999996</v>
      </c>
      <c r="Z277" s="1">
        <v>62.010000000000012</v>
      </c>
      <c r="AA277" s="1" t="s">
        <v>68</v>
      </c>
    </row>
    <row r="278" spans="1:27" x14ac:dyDescent="0.25">
      <c r="A278" s="1">
        <f t="shared" si="6"/>
        <v>274</v>
      </c>
      <c r="B278" s="1">
        <v>239.56914524042128</v>
      </c>
      <c r="C278" s="1">
        <v>546.19200000000001</v>
      </c>
      <c r="D278" s="1">
        <v>7.2253518010086282E-2</v>
      </c>
      <c r="E278" s="1">
        <v>15.1</v>
      </c>
      <c r="F278" s="1" t="s">
        <v>26</v>
      </c>
      <c r="G278" s="1" t="s">
        <v>25</v>
      </c>
      <c r="H278" s="1">
        <v>727.1</v>
      </c>
      <c r="J278" s="1">
        <v>68.900000000000006</v>
      </c>
      <c r="K278" s="1" t="s">
        <v>46</v>
      </c>
      <c r="R278" s="1">
        <v>172.21614524042127</v>
      </c>
      <c r="S278" s="1">
        <v>655.43039999999996</v>
      </c>
      <c r="T278" s="1">
        <v>7.2253518010086282E-2</v>
      </c>
      <c r="U278" s="1">
        <v>15.1</v>
      </c>
      <c r="V278" s="1" t="s">
        <v>26</v>
      </c>
      <c r="W278" s="1" t="s">
        <v>25</v>
      </c>
      <c r="X278" s="1">
        <v>727.1</v>
      </c>
      <c r="Z278" s="1">
        <v>62.010000000000012</v>
      </c>
      <c r="AA278" s="1" t="s">
        <v>68</v>
      </c>
    </row>
    <row r="279" spans="1:27" x14ac:dyDescent="0.25">
      <c r="A279" s="1">
        <f t="shared" si="6"/>
        <v>275</v>
      </c>
      <c r="B279" s="1">
        <v>239.56914524042128</v>
      </c>
      <c r="C279" s="1">
        <v>546.22799999999995</v>
      </c>
      <c r="D279" s="1">
        <v>0.13225351801003171</v>
      </c>
      <c r="E279" s="1">
        <v>39.799999999999997</v>
      </c>
      <c r="F279" s="1" t="s">
        <v>24</v>
      </c>
      <c r="G279" s="1" t="s">
        <v>19</v>
      </c>
      <c r="H279" s="1">
        <v>727.1</v>
      </c>
      <c r="J279" s="1">
        <v>68.900000000000006</v>
      </c>
      <c r="K279" s="1" t="s">
        <v>46</v>
      </c>
      <c r="R279" s="1">
        <v>172.21614524042127</v>
      </c>
      <c r="S279" s="1">
        <v>655.47359999999992</v>
      </c>
      <c r="T279" s="1">
        <v>0.13225351801003171</v>
      </c>
      <c r="U279" s="1">
        <v>39.799999999999997</v>
      </c>
      <c r="V279" s="1" t="s">
        <v>24</v>
      </c>
      <c r="W279" s="1" t="s">
        <v>19</v>
      </c>
      <c r="X279" s="1">
        <v>727.1</v>
      </c>
      <c r="Z279" s="1">
        <v>62.010000000000012</v>
      </c>
      <c r="AA279" s="1" t="s">
        <v>68</v>
      </c>
    </row>
    <row r="280" spans="1:27" x14ac:dyDescent="0.25">
      <c r="A280" s="1">
        <f t="shared" si="6"/>
        <v>276</v>
      </c>
      <c r="B280" s="1">
        <v>240.34671875464923</v>
      </c>
      <c r="C280" s="1">
        <v>547.33799999999997</v>
      </c>
      <c r="D280" s="1">
        <v>0.15628553668892664</v>
      </c>
      <c r="E280" s="1">
        <v>64.5</v>
      </c>
      <c r="F280" s="1" t="s">
        <v>24</v>
      </c>
      <c r="G280" s="1" t="s">
        <v>19</v>
      </c>
      <c r="H280" s="1">
        <v>728.39599999999996</v>
      </c>
      <c r="J280" s="1">
        <v>68.900000000000006</v>
      </c>
      <c r="K280" s="1" t="s">
        <v>46</v>
      </c>
      <c r="R280" s="1">
        <v>172.99371875464925</v>
      </c>
      <c r="S280" s="1">
        <v>656.80559999999991</v>
      </c>
      <c r="T280" s="1">
        <v>0.15628553668892664</v>
      </c>
      <c r="U280" s="1">
        <v>64.5</v>
      </c>
      <c r="V280" s="1" t="s">
        <v>24</v>
      </c>
      <c r="W280" s="1" t="s">
        <v>19</v>
      </c>
      <c r="X280" s="1">
        <v>728.39599999999996</v>
      </c>
      <c r="Z280" s="1">
        <v>62.010000000000012</v>
      </c>
      <c r="AA280" s="1" t="s">
        <v>68</v>
      </c>
    </row>
    <row r="281" spans="1:27" x14ac:dyDescent="0.25">
      <c r="A281" s="1">
        <f t="shared" si="6"/>
        <v>277</v>
      </c>
      <c r="B281" s="1">
        <v>244.36957408872604</v>
      </c>
      <c r="C281" s="1">
        <v>553.87199999999996</v>
      </c>
      <c r="D281" s="1">
        <v>1.5994552381990275</v>
      </c>
      <c r="E281" s="1">
        <v>91.2</v>
      </c>
      <c r="F281" s="1" t="s">
        <v>26</v>
      </c>
      <c r="G281" s="1" t="s">
        <v>25</v>
      </c>
      <c r="H281" s="1">
        <v>735.101</v>
      </c>
      <c r="J281" s="1">
        <v>69</v>
      </c>
      <c r="K281" s="1" t="s">
        <v>46</v>
      </c>
      <c r="R281" s="1">
        <v>177.01657408872603</v>
      </c>
      <c r="S281" s="1">
        <v>664.64639999999997</v>
      </c>
      <c r="T281" s="1">
        <v>1.5994552381990275</v>
      </c>
      <c r="U281" s="1">
        <v>91.2</v>
      </c>
      <c r="V281" s="1" t="s">
        <v>26</v>
      </c>
      <c r="W281" s="1" t="s">
        <v>25</v>
      </c>
      <c r="X281" s="1">
        <v>735.101</v>
      </c>
      <c r="Z281" s="1">
        <v>62.1</v>
      </c>
      <c r="AA281" s="1" t="s">
        <v>68</v>
      </c>
    </row>
    <row r="282" spans="1:27" x14ac:dyDescent="0.25">
      <c r="A282" s="1">
        <f t="shared" si="6"/>
        <v>278</v>
      </c>
      <c r="B282" s="1">
        <v>244.36957408872604</v>
      </c>
      <c r="C282" s="1">
        <v>553.87799999999993</v>
      </c>
      <c r="D282" s="1">
        <v>1.6094552381990184</v>
      </c>
      <c r="E282" s="1">
        <v>90</v>
      </c>
      <c r="F282" s="1" t="s">
        <v>24</v>
      </c>
      <c r="G282" s="1" t="s">
        <v>19</v>
      </c>
      <c r="H282" s="1">
        <v>735.101</v>
      </c>
      <c r="J282" s="1">
        <v>69.099999999999994</v>
      </c>
      <c r="K282" s="1" t="s">
        <v>46</v>
      </c>
      <c r="R282" s="1">
        <v>177.01657408872603</v>
      </c>
      <c r="S282" s="1">
        <v>664.65359999999987</v>
      </c>
      <c r="T282" s="1">
        <v>1.6094552381990184</v>
      </c>
      <c r="U282" s="1">
        <v>90</v>
      </c>
      <c r="V282" s="1" t="s">
        <v>24</v>
      </c>
      <c r="W282" s="1" t="s">
        <v>19</v>
      </c>
      <c r="X282" s="1">
        <v>735.101</v>
      </c>
      <c r="Z282" s="1">
        <v>62.189999999999991</v>
      </c>
      <c r="AA282" s="1" t="s">
        <v>68</v>
      </c>
    </row>
    <row r="283" spans="1:27" x14ac:dyDescent="0.25">
      <c r="A283" s="1">
        <f t="shared" si="6"/>
        <v>279</v>
      </c>
      <c r="B283" s="1">
        <v>247.02148056786032</v>
      </c>
      <c r="C283" s="1">
        <v>556.8359999999999</v>
      </c>
      <c r="D283" s="1">
        <v>0.31201020341580943</v>
      </c>
      <c r="E283" s="1">
        <v>46.9</v>
      </c>
      <c r="F283" s="1" t="s">
        <v>26</v>
      </c>
      <c r="G283" s="1" t="s">
        <v>25</v>
      </c>
      <c r="H283" s="1">
        <v>739.52099999999996</v>
      </c>
      <c r="J283" s="1">
        <v>69.099999999999994</v>
      </c>
      <c r="K283" s="1" t="s">
        <v>46</v>
      </c>
      <c r="R283" s="1">
        <v>179.66848056786034</v>
      </c>
      <c r="S283" s="1">
        <v>668.20319999999981</v>
      </c>
      <c r="T283" s="1">
        <v>0.31201020341580943</v>
      </c>
      <c r="U283" s="1">
        <v>46.9</v>
      </c>
      <c r="V283" s="1" t="s">
        <v>26</v>
      </c>
      <c r="W283" s="1" t="s">
        <v>25</v>
      </c>
      <c r="X283" s="1">
        <v>739.52099999999996</v>
      </c>
      <c r="Z283" s="1">
        <v>62.189999999999991</v>
      </c>
      <c r="AA283" s="1" t="s">
        <v>68</v>
      </c>
    </row>
    <row r="284" spans="1:27" x14ac:dyDescent="0.25">
      <c r="A284" s="1">
        <f t="shared" si="6"/>
        <v>280</v>
      </c>
      <c r="B284" s="1">
        <v>247.02148056786032</v>
      </c>
      <c r="C284" s="1">
        <v>556.72799999999995</v>
      </c>
      <c r="D284" s="1">
        <v>0.13201020341585945</v>
      </c>
      <c r="E284" s="1">
        <v>16.899999999999999</v>
      </c>
      <c r="F284" s="1" t="s">
        <v>26</v>
      </c>
      <c r="G284" s="1" t="s">
        <v>19</v>
      </c>
      <c r="H284" s="1">
        <v>739.52099999999996</v>
      </c>
      <c r="J284" s="1">
        <v>69.099999999999994</v>
      </c>
      <c r="K284" s="1" t="s">
        <v>46</v>
      </c>
      <c r="R284" s="1">
        <v>179.66848056786034</v>
      </c>
      <c r="S284" s="1">
        <v>668.07359999999994</v>
      </c>
      <c r="T284" s="1">
        <v>0.13201020341585945</v>
      </c>
      <c r="U284" s="1">
        <v>16.899999999999999</v>
      </c>
      <c r="V284" s="1" t="s">
        <v>26</v>
      </c>
      <c r="W284" s="1" t="s">
        <v>19</v>
      </c>
      <c r="X284" s="1">
        <v>739.52099999999996</v>
      </c>
      <c r="Z284" s="1">
        <v>62.189999999999991</v>
      </c>
      <c r="AA284" s="1" t="s">
        <v>68</v>
      </c>
    </row>
    <row r="285" spans="1:27" x14ac:dyDescent="0.25">
      <c r="A285" s="1">
        <f t="shared" si="6"/>
        <v>281</v>
      </c>
      <c r="B285" s="1">
        <v>249.03321153529498</v>
      </c>
      <c r="C285" s="1">
        <v>560.03399999999999</v>
      </c>
      <c r="D285" s="1">
        <v>0.91788281693283125</v>
      </c>
      <c r="E285" s="1">
        <v>44</v>
      </c>
      <c r="F285" s="1" t="s">
        <v>26</v>
      </c>
      <c r="G285" s="1" t="s">
        <v>25</v>
      </c>
      <c r="H285" s="1">
        <v>742.87400000000002</v>
      </c>
      <c r="J285" s="1">
        <v>69.2</v>
      </c>
      <c r="K285" s="1" t="s">
        <v>46</v>
      </c>
      <c r="R285" s="1">
        <v>181.68021153529497</v>
      </c>
      <c r="S285" s="1">
        <v>672.04079999999999</v>
      </c>
      <c r="T285" s="1">
        <v>0.91788281693283125</v>
      </c>
      <c r="U285" s="1">
        <v>44</v>
      </c>
      <c r="V285" s="1" t="s">
        <v>26</v>
      </c>
      <c r="W285" s="1" t="s">
        <v>25</v>
      </c>
      <c r="X285" s="1">
        <v>742.87400000000002</v>
      </c>
      <c r="Z285" s="1">
        <v>62.28</v>
      </c>
      <c r="AA285" s="1" t="s">
        <v>68</v>
      </c>
    </row>
    <row r="286" spans="1:27" x14ac:dyDescent="0.25">
      <c r="A286" s="1">
        <f t="shared" si="6"/>
        <v>282</v>
      </c>
      <c r="B286" s="1">
        <v>249.03321153529498</v>
      </c>
      <c r="C286" s="1">
        <v>559.94999999999993</v>
      </c>
      <c r="D286" s="1">
        <v>0.77788281693284489</v>
      </c>
      <c r="E286" s="1">
        <v>46.6</v>
      </c>
      <c r="F286" s="1" t="s">
        <v>24</v>
      </c>
      <c r="G286" s="1" t="s">
        <v>19</v>
      </c>
      <c r="H286" s="1">
        <v>742.87400000000002</v>
      </c>
      <c r="J286" s="1">
        <v>69.2</v>
      </c>
      <c r="K286" s="1" t="s">
        <v>46</v>
      </c>
      <c r="R286" s="1">
        <v>181.68021153529497</v>
      </c>
      <c r="S286" s="1">
        <v>671.93999999999994</v>
      </c>
      <c r="T286" s="1">
        <v>0.77788281693284489</v>
      </c>
      <c r="U286" s="1">
        <v>46.6</v>
      </c>
      <c r="V286" s="1" t="s">
        <v>24</v>
      </c>
      <c r="W286" s="1" t="s">
        <v>19</v>
      </c>
      <c r="X286" s="1">
        <v>742.87400000000002</v>
      </c>
      <c r="Z286" s="1">
        <v>62.28</v>
      </c>
      <c r="AA286" s="1" t="s">
        <v>68</v>
      </c>
    </row>
    <row r="287" spans="1:27" x14ac:dyDescent="0.25">
      <c r="A287" s="1">
        <f t="shared" si="6"/>
        <v>283</v>
      </c>
      <c r="B287" s="1">
        <v>250.54156099920638</v>
      </c>
      <c r="C287" s="1">
        <v>562.38</v>
      </c>
      <c r="D287" s="1">
        <v>1.2858410995268628</v>
      </c>
      <c r="E287" s="1">
        <v>2.7</v>
      </c>
      <c r="F287" s="1" t="s">
        <v>24</v>
      </c>
      <c r="G287" s="1" t="s">
        <v>19</v>
      </c>
      <c r="H287" s="1">
        <v>745.38800000000003</v>
      </c>
      <c r="J287" s="1">
        <v>69.3</v>
      </c>
      <c r="K287" s="1" t="s">
        <v>46</v>
      </c>
      <c r="R287" s="1">
        <v>183.1885609992064</v>
      </c>
      <c r="S287" s="1">
        <v>674.85599999999999</v>
      </c>
      <c r="T287" s="1">
        <v>1.2858410995268628</v>
      </c>
      <c r="U287" s="1">
        <v>2.7</v>
      </c>
      <c r="V287" s="1" t="s">
        <v>24</v>
      </c>
      <c r="W287" s="1" t="s">
        <v>19</v>
      </c>
      <c r="X287" s="1">
        <v>745.38800000000003</v>
      </c>
      <c r="Z287" s="1">
        <v>62.37</v>
      </c>
      <c r="AA287" s="1" t="s">
        <v>68</v>
      </c>
    </row>
    <row r="288" spans="1:27" x14ac:dyDescent="0.25">
      <c r="A288" s="1">
        <f t="shared" si="6"/>
        <v>284</v>
      </c>
      <c r="B288" s="1">
        <v>256.8965410203939</v>
      </c>
      <c r="C288" s="1">
        <v>570.62399999999991</v>
      </c>
      <c r="D288" s="1">
        <v>0.10250609866017157</v>
      </c>
      <c r="E288" s="1">
        <v>28.5</v>
      </c>
      <c r="F288" s="1" t="s">
        <v>24</v>
      </c>
      <c r="G288" s="1" t="s">
        <v>19</v>
      </c>
      <c r="H288" s="1">
        <v>755.98</v>
      </c>
      <c r="J288" s="1">
        <v>69.5</v>
      </c>
      <c r="K288" s="1" t="s">
        <v>46</v>
      </c>
      <c r="R288" s="1">
        <v>189.54354102039389</v>
      </c>
      <c r="S288" s="1">
        <v>684.74879999999985</v>
      </c>
      <c r="T288" s="1">
        <v>0.10250609866017157</v>
      </c>
      <c r="U288" s="1">
        <v>28.5</v>
      </c>
      <c r="V288" s="1" t="s">
        <v>24</v>
      </c>
      <c r="W288" s="1" t="s">
        <v>19</v>
      </c>
      <c r="X288" s="1">
        <v>755.98</v>
      </c>
      <c r="Z288" s="1">
        <v>62.55</v>
      </c>
      <c r="AA288" s="1" t="s">
        <v>68</v>
      </c>
    </row>
    <row r="289" spans="1:27" x14ac:dyDescent="0.25">
      <c r="A289" s="1">
        <f t="shared" si="6"/>
        <v>285</v>
      </c>
      <c r="B289" s="1">
        <v>261.46835425569219</v>
      </c>
      <c r="C289" s="1">
        <v>577.43999999999994</v>
      </c>
      <c r="D289" s="1">
        <v>0.72656353955147779</v>
      </c>
      <c r="E289" s="1">
        <v>5.0999999999999996</v>
      </c>
      <c r="F289" s="1" t="s">
        <v>26</v>
      </c>
      <c r="G289" s="1" t="s">
        <v>25</v>
      </c>
      <c r="H289" s="1">
        <v>763.6</v>
      </c>
      <c r="J289" s="1">
        <v>69.599999999999994</v>
      </c>
      <c r="K289" s="1" t="s">
        <v>46</v>
      </c>
      <c r="R289" s="1">
        <v>194.11535425569218</v>
      </c>
      <c r="S289" s="1">
        <v>692.92799999999988</v>
      </c>
      <c r="T289" s="1">
        <v>0.72656353955147779</v>
      </c>
      <c r="U289" s="1">
        <v>5.0999999999999996</v>
      </c>
      <c r="V289" s="1" t="s">
        <v>26</v>
      </c>
      <c r="W289" s="1" t="s">
        <v>25</v>
      </c>
      <c r="X289" s="1">
        <v>763.6</v>
      </c>
      <c r="Z289" s="1">
        <v>62.639999999999993</v>
      </c>
      <c r="AA289" s="1" t="s">
        <v>68</v>
      </c>
    </row>
    <row r="290" spans="1:27" x14ac:dyDescent="0.25">
      <c r="A290" s="1">
        <f t="shared" si="6"/>
        <v>286</v>
      </c>
      <c r="B290" s="1">
        <v>267.50347570093066</v>
      </c>
      <c r="C290" s="1" t="s">
        <v>47</v>
      </c>
      <c r="D290" s="1">
        <v>-975.84565081799724</v>
      </c>
      <c r="F290" s="1" t="s">
        <v>37</v>
      </c>
      <c r="G290" s="1" t="s">
        <v>17</v>
      </c>
      <c r="H290" s="1">
        <v>773.65899999999999</v>
      </c>
      <c r="J290" s="1">
        <v>69.900000000000006</v>
      </c>
      <c r="K290" s="1" t="s">
        <v>46</v>
      </c>
      <c r="R290" s="1">
        <v>200.15047570093066</v>
      </c>
      <c r="S290" s="1" t="e">
        <v>#VALUE!</v>
      </c>
      <c r="T290" s="1">
        <v>-975.84565081799724</v>
      </c>
      <c r="V290" s="1" t="s">
        <v>37</v>
      </c>
      <c r="W290" s="1" t="s">
        <v>17</v>
      </c>
      <c r="X290" s="1">
        <v>773.65899999999999</v>
      </c>
      <c r="Z290" s="1">
        <v>62.910000000000011</v>
      </c>
      <c r="AA290" s="1" t="s">
        <v>68</v>
      </c>
    </row>
    <row r="291" spans="1:27" x14ac:dyDescent="0.25">
      <c r="A291" s="1">
        <f t="shared" si="6"/>
        <v>287</v>
      </c>
      <c r="B291" s="1">
        <v>267.50347570093066</v>
      </c>
      <c r="C291" s="1">
        <v>606.36599999999999</v>
      </c>
      <c r="D291" s="1">
        <v>34.764349182002832</v>
      </c>
      <c r="E291" s="1">
        <v>1.6</v>
      </c>
      <c r="F291" s="1" t="s">
        <v>24</v>
      </c>
      <c r="G291" s="1" t="s">
        <v>19</v>
      </c>
      <c r="H291" s="1">
        <v>773.65899999999999</v>
      </c>
      <c r="J291" s="1">
        <v>70.099999999999994</v>
      </c>
      <c r="K291" s="1" t="s">
        <v>46</v>
      </c>
      <c r="R291" s="1">
        <v>200.15047570093066</v>
      </c>
      <c r="S291" s="1">
        <v>727.63919999999996</v>
      </c>
      <c r="T291" s="1">
        <v>34.764349182002832</v>
      </c>
      <c r="U291" s="1">
        <v>1.6</v>
      </c>
      <c r="V291" s="1" t="s">
        <v>24</v>
      </c>
      <c r="W291" s="1" t="s">
        <v>19</v>
      </c>
      <c r="X291" s="1">
        <v>773.65899999999999</v>
      </c>
      <c r="Z291" s="1">
        <v>63.089999999999989</v>
      </c>
      <c r="AA291" s="1" t="s">
        <v>68</v>
      </c>
    </row>
    <row r="292" spans="1:27" x14ac:dyDescent="0.25">
      <c r="A292" s="1">
        <f t="shared" si="6"/>
        <v>288</v>
      </c>
      <c r="B292" s="1">
        <v>269.44798730673216</v>
      </c>
      <c r="C292" s="1" t="s">
        <v>47</v>
      </c>
      <c r="D292" s="1">
        <v>-980.41192766067797</v>
      </c>
      <c r="F292" s="1" t="s">
        <v>22</v>
      </c>
      <c r="G292" s="1" t="s">
        <v>17</v>
      </c>
      <c r="H292" s="1">
        <v>776.9</v>
      </c>
      <c r="J292" s="1">
        <v>70.3</v>
      </c>
      <c r="K292" s="1" t="s">
        <v>46</v>
      </c>
      <c r="R292" s="1">
        <v>202.09498730673215</v>
      </c>
      <c r="S292" s="1" t="e">
        <v>#VALUE!</v>
      </c>
      <c r="T292" s="1">
        <v>-980.41192766067797</v>
      </c>
      <c r="V292" s="1" t="s">
        <v>22</v>
      </c>
      <c r="W292" s="1" t="s">
        <v>17</v>
      </c>
      <c r="X292" s="1">
        <v>776.9</v>
      </c>
      <c r="Z292" s="1">
        <v>63.27</v>
      </c>
      <c r="AA292" s="1" t="s">
        <v>68</v>
      </c>
    </row>
    <row r="293" spans="1:27" x14ac:dyDescent="0.25">
      <c r="A293" s="1">
        <f t="shared" si="6"/>
        <v>289</v>
      </c>
      <c r="B293" s="1">
        <v>292.28227585117952</v>
      </c>
      <c r="C293" s="1">
        <v>638.71799999999996</v>
      </c>
      <c r="D293" s="1">
        <v>30.496544605303427</v>
      </c>
      <c r="E293" s="1">
        <v>386.7</v>
      </c>
      <c r="F293" s="1" t="s">
        <v>26</v>
      </c>
      <c r="G293" s="1" t="s">
        <v>25</v>
      </c>
      <c r="H293" s="1">
        <v>814.95899999999995</v>
      </c>
      <c r="J293" s="1">
        <v>71.3</v>
      </c>
      <c r="K293" s="1" t="s">
        <v>46</v>
      </c>
      <c r="R293" s="1">
        <v>224.92927585117951</v>
      </c>
      <c r="S293" s="1">
        <v>766.46159999999998</v>
      </c>
      <c r="T293" s="1">
        <v>30.496544605303427</v>
      </c>
      <c r="U293" s="1">
        <v>386.7</v>
      </c>
      <c r="V293" s="1" t="s">
        <v>26</v>
      </c>
      <c r="W293" s="1" t="s">
        <v>25</v>
      </c>
      <c r="X293" s="1">
        <v>814.95899999999995</v>
      </c>
      <c r="Z293" s="1">
        <v>64.17</v>
      </c>
      <c r="AA293" s="1" t="s">
        <v>68</v>
      </c>
    </row>
    <row r="294" spans="1:27" x14ac:dyDescent="0.25">
      <c r="A294" s="1">
        <f t="shared" si="6"/>
        <v>290</v>
      </c>
      <c r="B294" s="1">
        <v>294.65935042114</v>
      </c>
      <c r="C294" s="1">
        <v>643.86599999999987</v>
      </c>
      <c r="D294" s="1">
        <v>33.494484549836272</v>
      </c>
      <c r="E294" s="1">
        <v>6.8</v>
      </c>
      <c r="F294" s="1" t="s">
        <v>26</v>
      </c>
      <c r="G294" s="1" t="s">
        <v>25</v>
      </c>
      <c r="H294" s="1">
        <v>818.92100000000005</v>
      </c>
      <c r="J294" s="1">
        <v>71.599999999999994</v>
      </c>
      <c r="K294" s="1" t="s">
        <v>46</v>
      </c>
      <c r="R294" s="1">
        <v>227.30635042114</v>
      </c>
      <c r="S294" s="1">
        <v>772.63919999999985</v>
      </c>
      <c r="T294" s="1">
        <v>33.494484549836272</v>
      </c>
      <c r="U294" s="1">
        <v>6.8</v>
      </c>
      <c r="V294" s="1" t="s">
        <v>26</v>
      </c>
      <c r="W294" s="1" t="s">
        <v>25</v>
      </c>
      <c r="X294" s="1">
        <v>818.92100000000005</v>
      </c>
      <c r="Z294" s="1">
        <v>64.44</v>
      </c>
      <c r="AA294" s="1" t="s">
        <v>68</v>
      </c>
    </row>
    <row r="295" spans="1:27" x14ac:dyDescent="0.25">
      <c r="A295" s="1">
        <f t="shared" si="6"/>
        <v>291</v>
      </c>
      <c r="B295" s="1">
        <v>294.65935042114</v>
      </c>
      <c r="C295" s="1">
        <v>643.78200000000004</v>
      </c>
      <c r="D295" s="1">
        <v>33.3544845498364</v>
      </c>
      <c r="E295" s="1">
        <v>5.5</v>
      </c>
      <c r="F295" s="1" t="s">
        <v>24</v>
      </c>
      <c r="G295" s="1" t="s">
        <v>19</v>
      </c>
      <c r="H295" s="1">
        <v>818.92100000000005</v>
      </c>
      <c r="J295" s="1">
        <v>71.900000000000006</v>
      </c>
      <c r="K295" s="1" t="s">
        <v>46</v>
      </c>
      <c r="R295" s="1">
        <v>227.30635042114</v>
      </c>
      <c r="S295" s="1">
        <v>772.53840000000002</v>
      </c>
      <c r="T295" s="1">
        <v>33.3544845498364</v>
      </c>
      <c r="U295" s="1">
        <v>5.5</v>
      </c>
      <c r="V295" s="1" t="s">
        <v>24</v>
      </c>
      <c r="W295" s="1" t="s">
        <v>19</v>
      </c>
      <c r="X295" s="1">
        <v>818.92100000000005</v>
      </c>
      <c r="Z295" s="1">
        <v>64.710000000000008</v>
      </c>
      <c r="AA295" s="1" t="s">
        <v>68</v>
      </c>
    </row>
    <row r="296" spans="1:27" x14ac:dyDescent="0.25">
      <c r="A296" s="1">
        <f t="shared" si="6"/>
        <v>292</v>
      </c>
      <c r="B296" s="1">
        <v>299.87128785366826</v>
      </c>
      <c r="C296" s="1" t="s">
        <v>47</v>
      </c>
      <c r="D296" s="1">
        <v>-1051.8546551563245</v>
      </c>
      <c r="F296" s="1" t="s">
        <v>27</v>
      </c>
      <c r="G296" s="1" t="s">
        <v>17</v>
      </c>
      <c r="H296" s="1">
        <v>827.60799999999995</v>
      </c>
      <c r="J296" s="1">
        <v>72</v>
      </c>
      <c r="K296" s="1" t="s">
        <v>46</v>
      </c>
      <c r="R296" s="1">
        <v>232.51828785366826</v>
      </c>
      <c r="S296" s="1" t="e">
        <v>#VALUE!</v>
      </c>
      <c r="T296" s="1">
        <v>-1051.8546551563245</v>
      </c>
      <c r="V296" s="1" t="s">
        <v>27</v>
      </c>
      <c r="W296" s="1" t="s">
        <v>17</v>
      </c>
      <c r="X296" s="1">
        <v>827.60799999999995</v>
      </c>
      <c r="Z296" s="1">
        <v>64.8</v>
      </c>
      <c r="AA296" s="1" t="s">
        <v>68</v>
      </c>
    </row>
    <row r="297" spans="1:27" x14ac:dyDescent="0.25">
      <c r="A297" s="1">
        <f t="shared" si="6"/>
        <v>293</v>
      </c>
      <c r="B297" s="1">
        <v>300.04647932159031</v>
      </c>
      <c r="C297" s="1" t="s">
        <v>47</v>
      </c>
      <c r="D297" s="1">
        <v>-1052.2660555000514</v>
      </c>
      <c r="F297" s="1" t="s">
        <v>22</v>
      </c>
      <c r="G297" s="1" t="s">
        <v>17</v>
      </c>
      <c r="H297" s="1">
        <v>827.9</v>
      </c>
      <c r="J297" s="1">
        <v>72</v>
      </c>
      <c r="K297" s="1" t="s">
        <v>46</v>
      </c>
      <c r="R297" s="1">
        <v>232.6934793215903</v>
      </c>
      <c r="S297" s="1" t="e">
        <v>#VALUE!</v>
      </c>
      <c r="T297" s="1">
        <v>-1052.2660555000514</v>
      </c>
      <c r="V297" s="1" t="s">
        <v>22</v>
      </c>
      <c r="W297" s="1" t="s">
        <v>17</v>
      </c>
      <c r="X297" s="1">
        <v>827.9</v>
      </c>
      <c r="Z297" s="1">
        <v>64.8</v>
      </c>
      <c r="AA297" s="1" t="s">
        <v>68</v>
      </c>
    </row>
    <row r="298" spans="1:27" x14ac:dyDescent="0.25">
      <c r="A298" s="1">
        <f t="shared" si="6"/>
        <v>294</v>
      </c>
      <c r="B298" s="1">
        <v>307.552131378902</v>
      </c>
      <c r="C298" s="1" t="s">
        <v>47</v>
      </c>
      <c r="D298" s="1">
        <v>-1069.891501949571</v>
      </c>
      <c r="F298" s="1" t="s">
        <v>22</v>
      </c>
      <c r="G298" s="1" t="s">
        <v>17</v>
      </c>
      <c r="H298" s="1">
        <v>840.41</v>
      </c>
      <c r="J298" s="1">
        <v>72.099999999999994</v>
      </c>
      <c r="K298" s="1" t="s">
        <v>46</v>
      </c>
      <c r="R298" s="1">
        <v>240.199131378902</v>
      </c>
      <c r="S298" s="1" t="e">
        <v>#VALUE!</v>
      </c>
      <c r="T298" s="1">
        <v>-1069.891501949571</v>
      </c>
      <c r="V298" s="1" t="s">
        <v>22</v>
      </c>
      <c r="W298" s="1" t="s">
        <v>17</v>
      </c>
      <c r="X298" s="1">
        <v>840.41</v>
      </c>
      <c r="Z298" s="1">
        <v>64.889999999999986</v>
      </c>
      <c r="AA298" s="1" t="s">
        <v>68</v>
      </c>
    </row>
    <row r="299" spans="1:27" x14ac:dyDescent="0.25">
      <c r="A299" s="1">
        <f t="shared" si="6"/>
        <v>295</v>
      </c>
      <c r="B299" s="1">
        <v>307.3061422437878</v>
      </c>
      <c r="C299" s="1" t="s">
        <v>47</v>
      </c>
      <c r="D299" s="1">
        <v>-1069.3138481634626</v>
      </c>
      <c r="F299" s="1" t="s">
        <v>27</v>
      </c>
      <c r="G299" s="1" t="s">
        <v>17</v>
      </c>
      <c r="H299" s="1">
        <v>840</v>
      </c>
      <c r="J299" s="1">
        <v>72.3</v>
      </c>
      <c r="K299" s="1" t="s">
        <v>46</v>
      </c>
      <c r="R299" s="1">
        <v>239.95314224378779</v>
      </c>
      <c r="S299" s="1" t="e">
        <v>#VALUE!</v>
      </c>
      <c r="T299" s="1">
        <v>-1069.3138481634626</v>
      </c>
      <c r="V299" s="1" t="s">
        <v>27</v>
      </c>
      <c r="W299" s="1" t="s">
        <v>17</v>
      </c>
      <c r="X299" s="1">
        <v>840</v>
      </c>
      <c r="Z299" s="1">
        <v>65.069999999999993</v>
      </c>
      <c r="AA299" s="1" t="s">
        <v>68</v>
      </c>
    </row>
    <row r="300" spans="1:27" x14ac:dyDescent="0.25">
      <c r="A300" s="1">
        <f t="shared" si="6"/>
        <v>296</v>
      </c>
      <c r="B300" s="1">
        <v>307.42613693933976</v>
      </c>
      <c r="C300" s="1" t="s">
        <v>47</v>
      </c>
      <c r="D300" s="1">
        <v>-1069.5956304875733</v>
      </c>
      <c r="F300" s="1" t="s">
        <v>22</v>
      </c>
      <c r="G300" s="1" t="s">
        <v>17</v>
      </c>
      <c r="H300" s="1">
        <v>840.2</v>
      </c>
      <c r="J300" s="1">
        <v>72.400000000000006</v>
      </c>
      <c r="K300" s="1" t="s">
        <v>46</v>
      </c>
      <c r="R300" s="1">
        <v>240.07313693933975</v>
      </c>
      <c r="S300" s="1" t="e">
        <v>#VALUE!</v>
      </c>
      <c r="T300" s="1">
        <v>-1069.5956304875733</v>
      </c>
      <c r="V300" s="1" t="s">
        <v>22</v>
      </c>
      <c r="W300" s="1" t="s">
        <v>17</v>
      </c>
      <c r="X300" s="1">
        <v>840.2</v>
      </c>
      <c r="Z300" s="1">
        <v>65.160000000000011</v>
      </c>
      <c r="AA300" s="1" t="s">
        <v>68</v>
      </c>
    </row>
    <row r="301" spans="1:27" x14ac:dyDescent="0.25">
      <c r="A301" s="1">
        <f t="shared" si="6"/>
        <v>297</v>
      </c>
      <c r="B301" s="1">
        <v>435.33043894117014</v>
      </c>
      <c r="C301" s="1" t="s">
        <v>47</v>
      </c>
      <c r="D301" s="1">
        <v>-1369.9520030428812</v>
      </c>
      <c r="F301" s="1" t="s">
        <v>22</v>
      </c>
      <c r="G301" s="1" t="s">
        <v>17</v>
      </c>
      <c r="H301" s="1">
        <v>1053.3889999999999</v>
      </c>
      <c r="J301" s="1">
        <v>81.599999999999994</v>
      </c>
      <c r="K301" s="1" t="s">
        <v>46</v>
      </c>
      <c r="R301" s="1">
        <v>367.97743894117013</v>
      </c>
      <c r="S301" s="1" t="e">
        <v>#VALUE!</v>
      </c>
      <c r="T301" s="1">
        <v>-1369.9520030428812</v>
      </c>
      <c r="V301" s="1" t="s">
        <v>22</v>
      </c>
      <c r="W301" s="1" t="s">
        <v>17</v>
      </c>
      <c r="X301" s="1">
        <v>1053.3889999999999</v>
      </c>
      <c r="Z301" s="1">
        <v>73.44</v>
      </c>
      <c r="AA301" s="1" t="s">
        <v>68</v>
      </c>
    </row>
    <row r="302" spans="1:27" x14ac:dyDescent="0.25">
      <c r="A302" s="1">
        <f t="shared" si="6"/>
        <v>298</v>
      </c>
      <c r="B302" s="1">
        <v>435.63700903217551</v>
      </c>
      <c r="C302" s="1" t="s">
        <v>47</v>
      </c>
      <c r="D302" s="1">
        <v>-1370.6719184720512</v>
      </c>
      <c r="F302" s="1" t="s">
        <v>22</v>
      </c>
      <c r="G302" s="1" t="s">
        <v>17</v>
      </c>
      <c r="H302" s="1">
        <v>1053.9000000000001</v>
      </c>
      <c r="J302" s="1">
        <v>81.7</v>
      </c>
      <c r="K302" s="1" t="s">
        <v>46</v>
      </c>
      <c r="R302" s="1">
        <v>368.2840090321755</v>
      </c>
      <c r="S302" s="1" t="e">
        <v>#VALUE!</v>
      </c>
      <c r="T302" s="1">
        <v>-1370.6719184720512</v>
      </c>
      <c r="V302" s="1" t="s">
        <v>22</v>
      </c>
      <c r="W302" s="1" t="s">
        <v>17</v>
      </c>
      <c r="X302" s="1">
        <v>1053.9000000000001</v>
      </c>
      <c r="Z302" s="1">
        <v>73.53</v>
      </c>
      <c r="AA302" s="1" t="s">
        <v>68</v>
      </c>
    </row>
    <row r="303" spans="1:27" x14ac:dyDescent="0.25">
      <c r="A303" s="1">
        <f t="shared" si="6"/>
        <v>299</v>
      </c>
      <c r="B303" s="1">
        <v>441.09044338401571</v>
      </c>
      <c r="C303" s="1" t="s">
        <v>47</v>
      </c>
      <c r="D303" s="1">
        <v>-1383.4781629396045</v>
      </c>
      <c r="F303" s="1" t="s">
        <v>22</v>
      </c>
      <c r="G303" s="1" t="s">
        <v>17</v>
      </c>
      <c r="H303" s="1">
        <v>1062.99</v>
      </c>
      <c r="J303" s="1">
        <v>81.8</v>
      </c>
      <c r="K303" s="1" t="s">
        <v>46</v>
      </c>
      <c r="R303" s="1">
        <v>373.73744338401571</v>
      </c>
      <c r="S303" s="1" t="e">
        <v>#VALUE!</v>
      </c>
      <c r="T303" s="1">
        <v>-1383.4781629396045</v>
      </c>
      <c r="V303" s="1" t="s">
        <v>22</v>
      </c>
      <c r="W303" s="1" t="s">
        <v>17</v>
      </c>
      <c r="X303" s="1">
        <v>1062.99</v>
      </c>
      <c r="Z303" s="1">
        <v>73.62</v>
      </c>
      <c r="AA303" s="1" t="s">
        <v>68</v>
      </c>
    </row>
    <row r="304" spans="1:27" x14ac:dyDescent="0.25">
      <c r="A304" s="1">
        <f t="shared" si="6"/>
        <v>300</v>
      </c>
      <c r="B304" s="1">
        <v>440.97645588665085</v>
      </c>
      <c r="C304" s="1">
        <v>839.30399999999997</v>
      </c>
      <c r="D304" s="1">
        <v>15.6295127420521</v>
      </c>
      <c r="E304" s="1">
        <v>4</v>
      </c>
      <c r="F304" s="1" t="s">
        <v>24</v>
      </c>
      <c r="G304" s="1" t="s">
        <v>19</v>
      </c>
      <c r="H304" s="1">
        <v>1062.8</v>
      </c>
      <c r="J304" s="1">
        <v>81.8</v>
      </c>
      <c r="K304" s="1" t="s">
        <v>46</v>
      </c>
      <c r="R304" s="1">
        <v>373.62345588665085</v>
      </c>
      <c r="S304" s="1">
        <v>1007.1647999999999</v>
      </c>
      <c r="T304" s="1">
        <v>15.6295127420521</v>
      </c>
      <c r="U304" s="1">
        <v>4</v>
      </c>
      <c r="V304" s="1" t="s">
        <v>24</v>
      </c>
      <c r="W304" s="1" t="s">
        <v>19</v>
      </c>
      <c r="X304" s="1">
        <v>1062.8</v>
      </c>
      <c r="Z304" s="1">
        <v>73.62</v>
      </c>
      <c r="AA304" s="1" t="s">
        <v>68</v>
      </c>
    </row>
    <row r="305" spans="1:27" x14ac:dyDescent="0.25">
      <c r="A305" s="1">
        <f t="shared" si="6"/>
        <v>301</v>
      </c>
      <c r="B305" s="1">
        <v>443.83333354565428</v>
      </c>
      <c r="C305" s="1">
        <v>827.64600000000007</v>
      </c>
      <c r="D305" s="1">
        <v>-10.50926403138493</v>
      </c>
      <c r="E305" s="1">
        <v>11.9</v>
      </c>
      <c r="F305" s="1" t="s">
        <v>26</v>
      </c>
      <c r="G305" s="1" t="s">
        <v>25</v>
      </c>
      <c r="H305" s="1">
        <v>1067.5619999999999</v>
      </c>
      <c r="J305" s="1">
        <v>81.900000000000006</v>
      </c>
      <c r="K305" s="1" t="s">
        <v>46</v>
      </c>
      <c r="R305" s="1">
        <v>376.48033354565428</v>
      </c>
      <c r="S305" s="1">
        <v>993.17520000000002</v>
      </c>
      <c r="T305" s="1">
        <v>-10.50926403138493</v>
      </c>
      <c r="U305" s="1">
        <v>11.9</v>
      </c>
      <c r="V305" s="1" t="s">
        <v>26</v>
      </c>
      <c r="W305" s="1" t="s">
        <v>25</v>
      </c>
      <c r="X305" s="1">
        <v>1067.5619999999999</v>
      </c>
      <c r="Z305" s="1">
        <v>73.710000000000008</v>
      </c>
      <c r="AA305" s="1" t="s">
        <v>68</v>
      </c>
    </row>
    <row r="306" spans="1:27" x14ac:dyDescent="0.25">
      <c r="A306" s="1">
        <f t="shared" si="6"/>
        <v>302</v>
      </c>
      <c r="B306" s="1">
        <v>443.83333354565428</v>
      </c>
      <c r="C306" s="1">
        <v>827.65200000000004</v>
      </c>
      <c r="D306" s="1">
        <v>-10.499264031384939</v>
      </c>
      <c r="E306" s="1">
        <v>11.7</v>
      </c>
      <c r="F306" s="1" t="s">
        <v>24</v>
      </c>
      <c r="G306" s="1" t="s">
        <v>19</v>
      </c>
      <c r="H306" s="1">
        <v>1067.5619999999999</v>
      </c>
      <c r="J306" s="1">
        <v>82</v>
      </c>
      <c r="K306" s="1" t="s">
        <v>46</v>
      </c>
      <c r="R306" s="1">
        <v>376.48033354565428</v>
      </c>
      <c r="S306" s="1">
        <v>993.18240000000003</v>
      </c>
      <c r="T306" s="1">
        <v>-10.499264031384939</v>
      </c>
      <c r="U306" s="1">
        <v>11.7</v>
      </c>
      <c r="V306" s="1" t="s">
        <v>24</v>
      </c>
      <c r="W306" s="1" t="s">
        <v>19</v>
      </c>
      <c r="X306" s="1">
        <v>1067.5619999999999</v>
      </c>
      <c r="Z306" s="1">
        <v>73.8</v>
      </c>
      <c r="AA306" s="1" t="s">
        <v>68</v>
      </c>
    </row>
    <row r="307" spans="1:27" x14ac:dyDescent="0.25">
      <c r="A307" s="1">
        <f t="shared" si="6"/>
        <v>303</v>
      </c>
      <c r="B307" s="1">
        <v>445.52453378120384</v>
      </c>
      <c r="C307" s="1" t="s">
        <v>47</v>
      </c>
      <c r="D307" s="1">
        <v>-1393.8906923575962</v>
      </c>
      <c r="F307" s="1" t="s">
        <v>22</v>
      </c>
      <c r="G307" s="1" t="s">
        <v>17</v>
      </c>
      <c r="H307" s="1">
        <v>1070.3810000000001</v>
      </c>
      <c r="J307" s="1">
        <v>82.1</v>
      </c>
      <c r="K307" s="1" t="s">
        <v>46</v>
      </c>
      <c r="R307" s="1">
        <v>378.17153378120383</v>
      </c>
      <c r="S307" s="1" t="e">
        <v>#VALUE!</v>
      </c>
      <c r="T307" s="1">
        <v>-1393.8906923575962</v>
      </c>
      <c r="V307" s="1" t="s">
        <v>22</v>
      </c>
      <c r="W307" s="1" t="s">
        <v>17</v>
      </c>
      <c r="X307" s="1">
        <v>1070.3810000000001</v>
      </c>
      <c r="Z307" s="1">
        <v>73.889999999999986</v>
      </c>
      <c r="AA307" s="1" t="s">
        <v>68</v>
      </c>
    </row>
    <row r="308" spans="1:27" x14ac:dyDescent="0.25">
      <c r="A308" s="1">
        <f t="shared" si="6"/>
        <v>304</v>
      </c>
      <c r="B308" s="1">
        <v>452.19934614322096</v>
      </c>
      <c r="C308" s="1">
        <v>837.04799999999989</v>
      </c>
      <c r="D308" s="1">
        <v>-14.485086394116763</v>
      </c>
      <c r="E308" s="1">
        <v>4.9000000000000004</v>
      </c>
      <c r="F308" s="1" t="s">
        <v>26</v>
      </c>
      <c r="G308" s="1" t="s">
        <v>25</v>
      </c>
      <c r="H308" s="1">
        <v>1081.5070000000001</v>
      </c>
      <c r="J308" s="1">
        <v>82.3</v>
      </c>
      <c r="K308" s="1" t="s">
        <v>46</v>
      </c>
      <c r="R308" s="1">
        <v>384.84634614322096</v>
      </c>
      <c r="S308" s="1">
        <v>1004.4575999999998</v>
      </c>
      <c r="T308" s="1">
        <v>-14.485086394116763</v>
      </c>
      <c r="U308" s="1">
        <v>4.9000000000000004</v>
      </c>
      <c r="V308" s="1" t="s">
        <v>26</v>
      </c>
      <c r="W308" s="1" t="s">
        <v>25</v>
      </c>
      <c r="X308" s="1">
        <v>1081.5070000000001</v>
      </c>
      <c r="Z308" s="1">
        <v>74.069999999999993</v>
      </c>
      <c r="AA308" s="1" t="s">
        <v>68</v>
      </c>
    </row>
    <row r="309" spans="1:27" x14ac:dyDescent="0.25">
      <c r="A309" s="1">
        <f t="shared" si="6"/>
        <v>305</v>
      </c>
      <c r="B309" s="1">
        <v>454.75926977364242</v>
      </c>
      <c r="C309" s="1">
        <v>837.35399999999993</v>
      </c>
      <c r="D309" s="1">
        <v>-19.986529040048993</v>
      </c>
      <c r="E309" s="1">
        <v>13.5</v>
      </c>
      <c r="F309" s="1" t="s">
        <v>26</v>
      </c>
      <c r="G309" s="1" t="s">
        <v>25</v>
      </c>
      <c r="H309" s="1">
        <v>1085.7739999999999</v>
      </c>
      <c r="J309" s="1">
        <v>82.5</v>
      </c>
      <c r="K309" s="1" t="s">
        <v>46</v>
      </c>
      <c r="R309" s="1">
        <v>387.40626977364241</v>
      </c>
      <c r="S309" s="1">
        <v>1004.8247999999999</v>
      </c>
      <c r="T309" s="1">
        <v>-19.986529040048993</v>
      </c>
      <c r="U309" s="1">
        <v>13.5</v>
      </c>
      <c r="V309" s="1" t="s">
        <v>26</v>
      </c>
      <c r="W309" s="1" t="s">
        <v>25</v>
      </c>
      <c r="X309" s="1">
        <v>1085.7739999999999</v>
      </c>
      <c r="Z309" s="1">
        <v>74.25</v>
      </c>
      <c r="AA309" s="1" t="s">
        <v>68</v>
      </c>
    </row>
    <row r="310" spans="1:27" x14ac:dyDescent="0.25">
      <c r="A310" s="1">
        <f t="shared" si="6"/>
        <v>306</v>
      </c>
      <c r="B310" s="1">
        <v>454.75926977364242</v>
      </c>
      <c r="C310" s="1">
        <v>837.31799999999998</v>
      </c>
      <c r="D310" s="1">
        <v>-20.046529040048938</v>
      </c>
      <c r="E310" s="1">
        <v>13.4</v>
      </c>
      <c r="F310" s="1" t="s">
        <v>24</v>
      </c>
      <c r="G310" s="1" t="s">
        <v>19</v>
      </c>
      <c r="H310" s="1">
        <v>1085.7739999999999</v>
      </c>
      <c r="J310" s="1">
        <v>82.6</v>
      </c>
      <c r="K310" s="1" t="s">
        <v>46</v>
      </c>
      <c r="R310" s="1">
        <v>387.40626977364241</v>
      </c>
      <c r="S310" s="1">
        <v>1004.7815999999999</v>
      </c>
      <c r="T310" s="1">
        <v>-20.046529040048938</v>
      </c>
      <c r="U310" s="1">
        <v>13.4</v>
      </c>
      <c r="V310" s="1" t="s">
        <v>24</v>
      </c>
      <c r="W310" s="1" t="s">
        <v>19</v>
      </c>
      <c r="X310" s="1">
        <v>1085.7739999999999</v>
      </c>
      <c r="Z310" s="1">
        <v>74.339999999999989</v>
      </c>
      <c r="AA310" s="1" t="s">
        <v>68</v>
      </c>
    </row>
    <row r="311" spans="1:27" x14ac:dyDescent="0.25">
      <c r="A311" s="1">
        <f t="shared" si="6"/>
        <v>307</v>
      </c>
      <c r="B311" s="1">
        <v>457.77636285431947</v>
      </c>
      <c r="C311" s="1">
        <v>838.65</v>
      </c>
      <c r="D311" s="1">
        <v>-24.91153806000267</v>
      </c>
      <c r="E311" s="1">
        <v>7.3</v>
      </c>
      <c r="F311" s="1" t="s">
        <v>26</v>
      </c>
      <c r="G311" s="1" t="s">
        <v>25</v>
      </c>
      <c r="H311" s="1">
        <v>1090.8030000000001</v>
      </c>
      <c r="J311" s="1">
        <v>82.6</v>
      </c>
      <c r="K311" s="1" t="s">
        <v>46</v>
      </c>
      <c r="R311" s="1">
        <v>390.42336285431946</v>
      </c>
      <c r="S311" s="1">
        <v>1006.3799999999999</v>
      </c>
      <c r="T311" s="1">
        <v>-24.91153806000267</v>
      </c>
      <c r="U311" s="1">
        <v>7.3</v>
      </c>
      <c r="V311" s="1" t="s">
        <v>26</v>
      </c>
      <c r="W311" s="1" t="s">
        <v>25</v>
      </c>
      <c r="X311" s="1">
        <v>1090.8030000000001</v>
      </c>
      <c r="Z311" s="1">
        <v>74.339999999999989</v>
      </c>
      <c r="AA311" s="1" t="s">
        <v>68</v>
      </c>
    </row>
    <row r="312" spans="1:27" x14ac:dyDescent="0.25">
      <c r="A312" s="1">
        <f t="shared" si="6"/>
        <v>308</v>
      </c>
      <c r="B312" s="1">
        <v>457.77636285431947</v>
      </c>
      <c r="C312" s="1">
        <v>838.596</v>
      </c>
      <c r="D312" s="1">
        <v>-25.001538060002588</v>
      </c>
      <c r="E312" s="1">
        <v>7.2</v>
      </c>
      <c r="F312" s="1" t="s">
        <v>26</v>
      </c>
      <c r="G312" s="1" t="s">
        <v>25</v>
      </c>
      <c r="H312" s="1">
        <v>1090.8030000000001</v>
      </c>
      <c r="J312" s="1">
        <v>82.8</v>
      </c>
      <c r="K312" s="1" t="s">
        <v>46</v>
      </c>
      <c r="R312" s="1">
        <v>390.42336285431946</v>
      </c>
      <c r="S312" s="1">
        <v>1006.3152</v>
      </c>
      <c r="T312" s="1">
        <v>-25.001538060002588</v>
      </c>
      <c r="U312" s="1">
        <v>7.2</v>
      </c>
      <c r="V312" s="1" t="s">
        <v>26</v>
      </c>
      <c r="W312" s="1" t="s">
        <v>25</v>
      </c>
      <c r="X312" s="1">
        <v>1090.8030000000001</v>
      </c>
      <c r="Z312" s="1">
        <v>74.52</v>
      </c>
      <c r="AA312" s="1" t="s">
        <v>68</v>
      </c>
    </row>
    <row r="313" spans="1:27" x14ac:dyDescent="0.25">
      <c r="A313" s="1">
        <f t="shared" si="6"/>
        <v>309</v>
      </c>
      <c r="B313" s="1">
        <v>462.30228331055275</v>
      </c>
      <c r="C313" s="1" t="s">
        <v>47</v>
      </c>
      <c r="D313" s="1">
        <v>-1433.2897110724214</v>
      </c>
      <c r="E313" s="1">
        <v>4.5</v>
      </c>
      <c r="F313" s="1" t="s">
        <v>29</v>
      </c>
      <c r="G313" s="1" t="s">
        <v>17</v>
      </c>
      <c r="H313" s="1">
        <v>1098.347</v>
      </c>
      <c r="J313" s="1">
        <v>83.1</v>
      </c>
      <c r="K313" s="1" t="s">
        <v>46</v>
      </c>
      <c r="R313" s="1">
        <v>394.94928331055274</v>
      </c>
      <c r="S313" s="1" t="e">
        <v>#VALUE!</v>
      </c>
      <c r="T313" s="1">
        <v>-1433.2897110724214</v>
      </c>
      <c r="U313" s="1">
        <v>4.5</v>
      </c>
      <c r="V313" s="1" t="s">
        <v>29</v>
      </c>
      <c r="W313" s="1" t="s">
        <v>17</v>
      </c>
      <c r="X313" s="1">
        <v>1098.347</v>
      </c>
      <c r="Z313" s="1">
        <v>74.789999999999992</v>
      </c>
      <c r="AA313" s="1" t="s">
        <v>68</v>
      </c>
    </row>
    <row r="314" spans="1:27" x14ac:dyDescent="0.25">
      <c r="A314" s="1">
        <f t="shared" si="6"/>
        <v>310</v>
      </c>
      <c r="B314" s="1">
        <v>462.30228331055275</v>
      </c>
      <c r="C314" s="1">
        <v>845.48400000000004</v>
      </c>
      <c r="D314" s="1">
        <v>-24.149711072421326</v>
      </c>
      <c r="E314" s="1">
        <v>4.5</v>
      </c>
      <c r="F314" s="1" t="s">
        <v>26</v>
      </c>
      <c r="G314" s="1" t="s">
        <v>19</v>
      </c>
      <c r="H314" s="1">
        <v>1098.347</v>
      </c>
      <c r="J314" s="1">
        <v>83.2</v>
      </c>
      <c r="K314" s="1" t="s">
        <v>46</v>
      </c>
      <c r="R314" s="1">
        <v>394.94928331055274</v>
      </c>
      <c r="S314" s="1">
        <v>1014.5808</v>
      </c>
      <c r="T314" s="1">
        <v>-24.149711072421326</v>
      </c>
      <c r="U314" s="1">
        <v>4.5</v>
      </c>
      <c r="V314" s="1" t="s">
        <v>26</v>
      </c>
      <c r="W314" s="1" t="s">
        <v>19</v>
      </c>
      <c r="X314" s="1">
        <v>1098.347</v>
      </c>
      <c r="Z314" s="1">
        <v>74.88</v>
      </c>
      <c r="AA314" s="1" t="s">
        <v>68</v>
      </c>
    </row>
    <row r="315" spans="1:27" x14ac:dyDescent="0.25">
      <c r="A315" s="1">
        <f t="shared" si="6"/>
        <v>311</v>
      </c>
      <c r="B315" s="1">
        <v>465.45669078240257</v>
      </c>
      <c r="C315" s="1">
        <v>848.202</v>
      </c>
      <c r="D315" s="1">
        <v>-27.027174081700025</v>
      </c>
      <c r="E315" s="1">
        <v>12.4</v>
      </c>
      <c r="F315" s="1" t="s">
        <v>26</v>
      </c>
      <c r="G315" s="1" t="s">
        <v>25</v>
      </c>
      <c r="H315" s="1">
        <v>1103.605</v>
      </c>
      <c r="J315" s="1">
        <v>83.2</v>
      </c>
      <c r="K315" s="1" t="s">
        <v>46</v>
      </c>
      <c r="R315" s="1">
        <v>398.10369078240257</v>
      </c>
      <c r="S315" s="1">
        <v>1017.8424</v>
      </c>
      <c r="T315" s="1">
        <v>-27.027174081700025</v>
      </c>
      <c r="U315" s="1">
        <v>12.4</v>
      </c>
      <c r="V315" s="1" t="s">
        <v>26</v>
      </c>
      <c r="W315" s="1" t="s">
        <v>25</v>
      </c>
      <c r="X315" s="1">
        <v>1103.605</v>
      </c>
      <c r="Z315" s="1">
        <v>74.88</v>
      </c>
      <c r="AA315" s="1" t="s">
        <v>68</v>
      </c>
    </row>
    <row r="316" spans="1:27" x14ac:dyDescent="0.25">
      <c r="A316" s="1">
        <f t="shared" si="6"/>
        <v>312</v>
      </c>
      <c r="B316" s="1">
        <v>465.45669078240257</v>
      </c>
      <c r="C316" s="1">
        <v>848.14799999999991</v>
      </c>
      <c r="D316" s="1">
        <v>-27.117174081700171</v>
      </c>
      <c r="E316" s="1">
        <v>12.2</v>
      </c>
      <c r="F316" s="1" t="s">
        <v>26</v>
      </c>
      <c r="G316" s="1" t="s">
        <v>25</v>
      </c>
      <c r="H316" s="1">
        <v>1103.605</v>
      </c>
      <c r="J316" s="1">
        <v>83.3</v>
      </c>
      <c r="K316" s="1" t="s">
        <v>46</v>
      </c>
      <c r="R316" s="1">
        <v>398.10369078240257</v>
      </c>
      <c r="S316" s="1">
        <v>1017.7775999999999</v>
      </c>
      <c r="T316" s="1">
        <v>-27.117174081700171</v>
      </c>
      <c r="U316" s="1">
        <v>12.2</v>
      </c>
      <c r="V316" s="1" t="s">
        <v>26</v>
      </c>
      <c r="W316" s="1" t="s">
        <v>25</v>
      </c>
      <c r="X316" s="1">
        <v>1103.605</v>
      </c>
      <c r="Z316" s="1">
        <v>74.97</v>
      </c>
      <c r="AA316" s="1" t="s">
        <v>68</v>
      </c>
    </row>
    <row r="317" spans="1:27" x14ac:dyDescent="0.25">
      <c r="A317" s="1">
        <f t="shared" si="6"/>
        <v>313</v>
      </c>
      <c r="B317" s="1">
        <v>470.30219150430833</v>
      </c>
      <c r="C317" s="1">
        <v>852.92399999999998</v>
      </c>
      <c r="D317" s="1">
        <v>-30.535814184242611</v>
      </c>
      <c r="E317" s="1">
        <v>46.7</v>
      </c>
      <c r="F317" s="1" t="s">
        <v>26</v>
      </c>
      <c r="G317" s="1" t="s">
        <v>25</v>
      </c>
      <c r="H317" s="1">
        <v>1111.682</v>
      </c>
      <c r="J317" s="1">
        <v>83.6</v>
      </c>
      <c r="K317" s="1" t="s">
        <v>46</v>
      </c>
      <c r="R317" s="1">
        <v>402.94919150430832</v>
      </c>
      <c r="S317" s="1">
        <v>1023.5088</v>
      </c>
      <c r="T317" s="1">
        <v>-30.535814184242611</v>
      </c>
      <c r="U317" s="1">
        <v>46.7</v>
      </c>
      <c r="V317" s="1" t="s">
        <v>26</v>
      </c>
      <c r="W317" s="1" t="s">
        <v>25</v>
      </c>
      <c r="X317" s="1">
        <v>1111.682</v>
      </c>
      <c r="Z317" s="1">
        <v>75.239999999999995</v>
      </c>
      <c r="AA317" s="1" t="s">
        <v>68</v>
      </c>
    </row>
    <row r="318" spans="1:27" x14ac:dyDescent="0.25">
      <c r="A318" s="1">
        <f t="shared" si="6"/>
        <v>314</v>
      </c>
      <c r="B318" s="1">
        <v>473.04493652477515</v>
      </c>
      <c r="C318" s="1" t="s">
        <v>47</v>
      </c>
      <c r="D318" s="1">
        <v>-1458.5165744424844</v>
      </c>
      <c r="E318" s="1">
        <v>4.3</v>
      </c>
      <c r="F318" s="1" t="s">
        <v>29</v>
      </c>
      <c r="G318" s="1" t="s">
        <v>17</v>
      </c>
      <c r="H318" s="1">
        <v>1116.2539999999999</v>
      </c>
      <c r="J318" s="1">
        <v>83.8</v>
      </c>
      <c r="K318" s="1" t="s">
        <v>46</v>
      </c>
      <c r="R318" s="1">
        <v>405.69193652477514</v>
      </c>
      <c r="S318" s="1" t="e">
        <v>#VALUE!</v>
      </c>
      <c r="T318" s="1">
        <v>-1458.5165744424844</v>
      </c>
      <c r="U318" s="1">
        <v>4.3</v>
      </c>
      <c r="V318" s="1" t="s">
        <v>29</v>
      </c>
      <c r="W318" s="1" t="s">
        <v>17</v>
      </c>
      <c r="X318" s="1">
        <v>1116.2539999999999</v>
      </c>
      <c r="Z318" s="1">
        <v>75.42</v>
      </c>
      <c r="AA318" s="1" t="s">
        <v>68</v>
      </c>
    </row>
    <row r="319" spans="1:27" x14ac:dyDescent="0.25">
      <c r="A319" s="1">
        <f t="shared" si="6"/>
        <v>315</v>
      </c>
      <c r="B319" s="1">
        <v>473.04493652477515</v>
      </c>
      <c r="C319" s="1" t="s">
        <v>47</v>
      </c>
      <c r="D319" s="1">
        <v>-1458.5165744424844</v>
      </c>
      <c r="E319" s="1">
        <v>4.2</v>
      </c>
      <c r="F319" s="1" t="s">
        <v>29</v>
      </c>
      <c r="G319" s="1" t="s">
        <v>17</v>
      </c>
      <c r="H319" s="1">
        <v>1116.2539999999999</v>
      </c>
      <c r="J319" s="1">
        <v>84</v>
      </c>
      <c r="K319" s="1" t="s">
        <v>46</v>
      </c>
      <c r="R319" s="1">
        <v>405.69193652477514</v>
      </c>
      <c r="S319" s="1" t="e">
        <v>#VALUE!</v>
      </c>
      <c r="T319" s="1">
        <v>-1458.5165744424844</v>
      </c>
      <c r="U319" s="1">
        <v>4.2</v>
      </c>
      <c r="V319" s="1" t="s">
        <v>29</v>
      </c>
      <c r="W319" s="1" t="s">
        <v>17</v>
      </c>
      <c r="X319" s="1">
        <v>1116.2539999999999</v>
      </c>
      <c r="Z319" s="1">
        <v>75.599999999999994</v>
      </c>
      <c r="AA319" s="1" t="s">
        <v>68</v>
      </c>
    </row>
    <row r="320" spans="1:27" x14ac:dyDescent="0.25">
      <c r="A320" s="1">
        <f t="shared" si="6"/>
        <v>316</v>
      </c>
      <c r="B320" s="1">
        <v>477.57054042149673</v>
      </c>
      <c r="C320" s="1" t="s">
        <v>47</v>
      </c>
      <c r="D320" s="1">
        <v>-1469.1440040814186</v>
      </c>
      <c r="F320" s="1" t="s">
        <v>29</v>
      </c>
      <c r="G320" s="1" t="s">
        <v>17</v>
      </c>
      <c r="H320" s="1">
        <v>1123.798</v>
      </c>
      <c r="J320" s="1">
        <v>84.2</v>
      </c>
      <c r="K320" s="1" t="s">
        <v>46</v>
      </c>
      <c r="R320" s="1">
        <v>410.21754042149672</v>
      </c>
      <c r="S320" s="1" t="e">
        <v>#VALUE!</v>
      </c>
      <c r="T320" s="1">
        <v>-1469.1440040814186</v>
      </c>
      <c r="V320" s="1" t="s">
        <v>29</v>
      </c>
      <c r="W320" s="1" t="s">
        <v>17</v>
      </c>
      <c r="X320" s="1">
        <v>1123.798</v>
      </c>
      <c r="Z320" s="1">
        <v>75.78</v>
      </c>
      <c r="AA320" s="1" t="s">
        <v>68</v>
      </c>
    </row>
    <row r="321" spans="1:27" x14ac:dyDescent="0.25">
      <c r="A321" s="1">
        <f t="shared" si="6"/>
        <v>317</v>
      </c>
      <c r="B321" s="1">
        <v>477.57054042149673</v>
      </c>
      <c r="C321" s="1" t="s">
        <v>47</v>
      </c>
      <c r="D321" s="1">
        <v>-1469.1440040814186</v>
      </c>
      <c r="E321" s="1">
        <v>3.5</v>
      </c>
      <c r="F321" s="1" t="s">
        <v>29</v>
      </c>
      <c r="G321" s="1" t="s">
        <v>17</v>
      </c>
      <c r="H321" s="1">
        <v>1123.798</v>
      </c>
      <c r="J321" s="1">
        <v>84.5</v>
      </c>
      <c r="K321" s="1" t="s">
        <v>46</v>
      </c>
      <c r="R321" s="1">
        <v>410.21754042149672</v>
      </c>
      <c r="S321" s="1" t="e">
        <v>#VALUE!</v>
      </c>
      <c r="T321" s="1">
        <v>-1469.1440040814186</v>
      </c>
      <c r="U321" s="1">
        <v>3.5</v>
      </c>
      <c r="V321" s="1" t="s">
        <v>29</v>
      </c>
      <c r="W321" s="1" t="s">
        <v>17</v>
      </c>
      <c r="X321" s="1">
        <v>1123.798</v>
      </c>
      <c r="Z321" s="1">
        <v>76.05</v>
      </c>
      <c r="AA321" s="1" t="s">
        <v>68</v>
      </c>
    </row>
    <row r="322" spans="1:27" x14ac:dyDescent="0.25">
      <c r="A322" s="1">
        <f t="shared" si="6"/>
        <v>318</v>
      </c>
      <c r="B322" s="1">
        <v>477.57054042149673</v>
      </c>
      <c r="C322" s="1" t="s">
        <v>47</v>
      </c>
      <c r="D322" s="1">
        <v>-1469.1440040814186</v>
      </c>
      <c r="E322" s="1">
        <v>4</v>
      </c>
      <c r="F322" s="1" t="s">
        <v>29</v>
      </c>
      <c r="G322" s="1" t="s">
        <v>17</v>
      </c>
      <c r="H322" s="1">
        <v>1123.798</v>
      </c>
      <c r="J322" s="1">
        <v>84.6</v>
      </c>
      <c r="K322" s="1" t="s">
        <v>46</v>
      </c>
      <c r="R322" s="1">
        <v>410.21754042149672</v>
      </c>
      <c r="S322" s="1" t="e">
        <v>#VALUE!</v>
      </c>
      <c r="T322" s="1">
        <v>-1469.1440040814186</v>
      </c>
      <c r="U322" s="1">
        <v>4</v>
      </c>
      <c r="V322" s="1" t="s">
        <v>29</v>
      </c>
      <c r="W322" s="1" t="s">
        <v>17</v>
      </c>
      <c r="X322" s="1">
        <v>1123.798</v>
      </c>
      <c r="Z322" s="1">
        <v>76.139999999999986</v>
      </c>
      <c r="AA322" s="1" t="s">
        <v>68</v>
      </c>
    </row>
    <row r="323" spans="1:27" x14ac:dyDescent="0.25">
      <c r="A323" s="1">
        <f t="shared" si="6"/>
        <v>319</v>
      </c>
      <c r="B323" s="1">
        <v>482.18727149051961</v>
      </c>
      <c r="C323" s="1">
        <v>869.79600000000005</v>
      </c>
      <c r="D323" s="1">
        <v>-30.325426732982635</v>
      </c>
      <c r="E323" s="1">
        <v>3.7</v>
      </c>
      <c r="F323" s="1" t="s">
        <v>26</v>
      </c>
      <c r="G323" s="1" t="s">
        <v>25</v>
      </c>
      <c r="H323" s="1">
        <v>1131.4939999999999</v>
      </c>
      <c r="J323" s="1">
        <v>84.7</v>
      </c>
      <c r="K323" s="1" t="s">
        <v>46</v>
      </c>
      <c r="R323" s="1">
        <v>414.8342714905196</v>
      </c>
      <c r="S323" s="1">
        <v>1043.7552000000001</v>
      </c>
      <c r="T323" s="1">
        <v>-30.325426732982635</v>
      </c>
      <c r="U323" s="1">
        <v>3.7</v>
      </c>
      <c r="V323" s="1" t="s">
        <v>26</v>
      </c>
      <c r="W323" s="1" t="s">
        <v>25</v>
      </c>
      <c r="X323" s="1">
        <v>1131.4939999999999</v>
      </c>
      <c r="Z323" s="1">
        <v>76.23</v>
      </c>
      <c r="AA323" s="1" t="s">
        <v>68</v>
      </c>
    </row>
    <row r="324" spans="1:27" x14ac:dyDescent="0.25">
      <c r="A324" s="1">
        <f t="shared" si="6"/>
        <v>320</v>
      </c>
      <c r="B324" s="1">
        <v>484.92996447474275</v>
      </c>
      <c r="C324" s="1">
        <v>871.18200000000002</v>
      </c>
      <c r="D324" s="1">
        <v>-34.456064795042096</v>
      </c>
      <c r="E324" s="1">
        <v>8.9</v>
      </c>
      <c r="F324" s="1" t="s">
        <v>26</v>
      </c>
      <c r="G324" s="1" t="s">
        <v>19</v>
      </c>
      <c r="H324" s="1">
        <v>1136.066</v>
      </c>
      <c r="J324" s="1">
        <v>84.8</v>
      </c>
      <c r="K324" s="1" t="s">
        <v>46</v>
      </c>
      <c r="R324" s="1">
        <v>417.57696447474274</v>
      </c>
      <c r="S324" s="1">
        <v>1045.4184</v>
      </c>
      <c r="T324" s="1">
        <v>-34.456064795042096</v>
      </c>
      <c r="U324" s="1">
        <v>8.9</v>
      </c>
      <c r="V324" s="1" t="s">
        <v>26</v>
      </c>
      <c r="W324" s="1" t="s">
        <v>19</v>
      </c>
      <c r="X324" s="1">
        <v>1136.066</v>
      </c>
      <c r="Z324" s="1">
        <v>76.319999999999993</v>
      </c>
      <c r="AA324" s="1" t="s">
        <v>68</v>
      </c>
    </row>
    <row r="325" spans="1:27" x14ac:dyDescent="0.25">
      <c r="A325" s="1">
        <f t="shared" si="6"/>
        <v>321</v>
      </c>
      <c r="B325" s="1">
        <v>490.82698460407016</v>
      </c>
      <c r="C325" s="1">
        <v>876.21599999999989</v>
      </c>
      <c r="D325" s="1">
        <v>-39.913977235900177</v>
      </c>
      <c r="E325" s="1">
        <v>20.9</v>
      </c>
      <c r="F325" s="1" t="s">
        <v>24</v>
      </c>
      <c r="G325" s="1" t="s">
        <v>19</v>
      </c>
      <c r="H325" s="1">
        <v>1145.896</v>
      </c>
      <c r="J325" s="1">
        <v>85.1</v>
      </c>
      <c r="K325" s="1" t="s">
        <v>46</v>
      </c>
      <c r="R325" s="1">
        <v>423.47398460407015</v>
      </c>
      <c r="S325" s="1">
        <v>1051.4591999999998</v>
      </c>
      <c r="T325" s="1">
        <v>-39.913977235900177</v>
      </c>
      <c r="U325" s="1">
        <v>20.9</v>
      </c>
      <c r="V325" s="1" t="s">
        <v>24</v>
      </c>
      <c r="W325" s="1" t="s">
        <v>19</v>
      </c>
      <c r="X325" s="1">
        <v>1145.896</v>
      </c>
      <c r="Z325" s="1">
        <v>76.589999999999989</v>
      </c>
      <c r="AA325" s="1" t="s">
        <v>68</v>
      </c>
    </row>
    <row r="326" spans="1:27" x14ac:dyDescent="0.25">
      <c r="A326" s="1">
        <f t="shared" ref="A326:A389" si="7">1+A325</f>
        <v>322</v>
      </c>
      <c r="B326" s="1">
        <v>491.46648706227404</v>
      </c>
      <c r="C326" s="1">
        <v>876.99599999999998</v>
      </c>
      <c r="D326" s="1">
        <v>-40.115714359515835</v>
      </c>
      <c r="E326" s="1">
        <v>64.2</v>
      </c>
      <c r="F326" s="1" t="s">
        <v>26</v>
      </c>
      <c r="G326" s="1" t="s">
        <v>19</v>
      </c>
      <c r="H326" s="1">
        <v>1146.962</v>
      </c>
      <c r="J326" s="1">
        <v>85.1</v>
      </c>
      <c r="K326" s="1" t="s">
        <v>46</v>
      </c>
      <c r="R326" s="1">
        <v>424.11348706227403</v>
      </c>
      <c r="S326" s="1">
        <v>1052.3951999999999</v>
      </c>
      <c r="T326" s="1">
        <v>-40.115714359515835</v>
      </c>
      <c r="U326" s="1">
        <v>64.2</v>
      </c>
      <c r="V326" s="1" t="s">
        <v>26</v>
      </c>
      <c r="W326" s="1" t="s">
        <v>19</v>
      </c>
      <c r="X326" s="1">
        <v>1146.962</v>
      </c>
      <c r="Z326" s="1">
        <v>76.589999999999989</v>
      </c>
      <c r="AA326" s="1" t="s">
        <v>68</v>
      </c>
    </row>
    <row r="327" spans="1:27" x14ac:dyDescent="0.25">
      <c r="A327" s="1">
        <f t="shared" si="7"/>
        <v>323</v>
      </c>
      <c r="B327" s="1">
        <v>491.46648706227404</v>
      </c>
      <c r="C327" s="1">
        <v>876.93</v>
      </c>
      <c r="D327" s="1">
        <v>-40.225714359515962</v>
      </c>
      <c r="E327" s="1">
        <v>62.4</v>
      </c>
      <c r="F327" s="1" t="s">
        <v>26</v>
      </c>
      <c r="G327" s="1" t="s">
        <v>25</v>
      </c>
      <c r="H327" s="1">
        <v>1146.962</v>
      </c>
      <c r="J327" s="1">
        <v>85.3</v>
      </c>
      <c r="K327" s="1" t="s">
        <v>46</v>
      </c>
      <c r="R327" s="1">
        <v>424.11348706227403</v>
      </c>
      <c r="S327" s="1">
        <v>1052.3159999999998</v>
      </c>
      <c r="T327" s="1">
        <v>-40.225714359515962</v>
      </c>
      <c r="U327" s="1">
        <v>62.4</v>
      </c>
      <c r="V327" s="1" t="s">
        <v>26</v>
      </c>
      <c r="W327" s="1" t="s">
        <v>25</v>
      </c>
      <c r="X327" s="1">
        <v>1146.962</v>
      </c>
      <c r="Z327" s="1">
        <v>76.77</v>
      </c>
      <c r="AA327" s="1" t="s">
        <v>68</v>
      </c>
    </row>
    <row r="328" spans="1:27" x14ac:dyDescent="0.25">
      <c r="A328" s="1">
        <f t="shared" si="7"/>
        <v>324</v>
      </c>
      <c r="B328" s="1">
        <v>495.62685223974961</v>
      </c>
      <c r="C328" s="1">
        <v>882.64199999999994</v>
      </c>
      <c r="D328" s="1">
        <v>-40.475457625806769</v>
      </c>
      <c r="E328" s="1">
        <v>11</v>
      </c>
      <c r="F328" s="1" t="s">
        <v>26</v>
      </c>
      <c r="G328" s="1" t="s">
        <v>19</v>
      </c>
      <c r="H328" s="1">
        <v>1153.8969999999999</v>
      </c>
      <c r="J328" s="1">
        <v>85.4</v>
      </c>
      <c r="K328" s="1" t="s">
        <v>46</v>
      </c>
      <c r="R328" s="1">
        <v>428.2738522397496</v>
      </c>
      <c r="S328" s="1">
        <v>1059.1704</v>
      </c>
      <c r="T328" s="1">
        <v>-40.475457625806769</v>
      </c>
      <c r="U328" s="1">
        <v>11</v>
      </c>
      <c r="V328" s="1" t="s">
        <v>26</v>
      </c>
      <c r="W328" s="1" t="s">
        <v>19</v>
      </c>
      <c r="X328" s="1">
        <v>1153.8969999999999</v>
      </c>
      <c r="Z328" s="1">
        <v>76.860000000000014</v>
      </c>
      <c r="AA328" s="1" t="s">
        <v>68</v>
      </c>
    </row>
    <row r="329" spans="1:27" x14ac:dyDescent="0.25">
      <c r="A329" s="1">
        <f t="shared" si="7"/>
        <v>325</v>
      </c>
      <c r="B329" s="1">
        <v>495.62685223974961</v>
      </c>
      <c r="C329" s="1">
        <v>882.56399999999996</v>
      </c>
      <c r="D329" s="1">
        <v>-40.60545762580665</v>
      </c>
      <c r="E329" s="1">
        <v>10.9</v>
      </c>
      <c r="F329" s="1" t="s">
        <v>24</v>
      </c>
      <c r="G329" s="1" t="s">
        <v>25</v>
      </c>
      <c r="H329" s="1">
        <v>1153.8969999999999</v>
      </c>
      <c r="J329" s="1">
        <v>85.4</v>
      </c>
      <c r="K329" s="1" t="s">
        <v>46</v>
      </c>
      <c r="R329" s="1">
        <v>428.2738522397496</v>
      </c>
      <c r="S329" s="1">
        <v>1059.0767999999998</v>
      </c>
      <c r="T329" s="1">
        <v>-40.60545762580665</v>
      </c>
      <c r="U329" s="1">
        <v>10.9</v>
      </c>
      <c r="V329" s="1" t="s">
        <v>24</v>
      </c>
      <c r="W329" s="1" t="s">
        <v>25</v>
      </c>
      <c r="X329" s="1">
        <v>1153.8969999999999</v>
      </c>
      <c r="Z329" s="1">
        <v>76.860000000000014</v>
      </c>
      <c r="AA329" s="1" t="s">
        <v>68</v>
      </c>
    </row>
    <row r="330" spans="1:27" x14ac:dyDescent="0.25">
      <c r="A330" s="1">
        <f t="shared" si="7"/>
        <v>326</v>
      </c>
      <c r="B330" s="1">
        <v>495.62685223974961</v>
      </c>
      <c r="C330" s="1">
        <v>882.57</v>
      </c>
      <c r="D330" s="1">
        <v>-40.59545762580666</v>
      </c>
      <c r="E330" s="1">
        <v>10.9</v>
      </c>
      <c r="F330" s="1" t="s">
        <v>26</v>
      </c>
      <c r="G330" s="1" t="s">
        <v>25</v>
      </c>
      <c r="H330" s="1">
        <v>1153.8969999999999</v>
      </c>
      <c r="J330" s="1">
        <v>85.4</v>
      </c>
      <c r="K330" s="1" t="s">
        <v>46</v>
      </c>
      <c r="R330" s="1">
        <v>428.2738522397496</v>
      </c>
      <c r="S330" s="1">
        <v>1059.0840000000001</v>
      </c>
      <c r="T330" s="1">
        <v>-40.59545762580666</v>
      </c>
      <c r="U330" s="1">
        <v>10.9</v>
      </c>
      <c r="V330" s="1" t="s">
        <v>26</v>
      </c>
      <c r="W330" s="1" t="s">
        <v>25</v>
      </c>
      <c r="X330" s="1">
        <v>1153.8969999999999</v>
      </c>
      <c r="Z330" s="1">
        <v>76.860000000000014</v>
      </c>
      <c r="AA330" s="1" t="s">
        <v>68</v>
      </c>
    </row>
    <row r="331" spans="1:27" x14ac:dyDescent="0.25">
      <c r="A331" s="1">
        <f t="shared" si="7"/>
        <v>327</v>
      </c>
      <c r="B331" s="1">
        <v>497.22678473730474</v>
      </c>
      <c r="C331" s="1" t="s">
        <v>47</v>
      </c>
      <c r="D331" s="1">
        <v>-1515.3025628503997</v>
      </c>
      <c r="F331" s="1" t="s">
        <v>22</v>
      </c>
      <c r="G331" s="1" t="s">
        <v>17</v>
      </c>
      <c r="H331" s="1">
        <v>1156.5640000000001</v>
      </c>
      <c r="J331" s="1">
        <v>85.6</v>
      </c>
      <c r="K331" s="1" t="s">
        <v>46</v>
      </c>
      <c r="R331" s="1">
        <v>429.87378473730473</v>
      </c>
      <c r="S331" s="1" t="e">
        <v>#VALUE!</v>
      </c>
      <c r="T331" s="1">
        <v>-1515.3025628503997</v>
      </c>
      <c r="V331" s="1" t="s">
        <v>22</v>
      </c>
      <c r="W331" s="1" t="s">
        <v>17</v>
      </c>
      <c r="X331" s="1">
        <v>1156.5640000000001</v>
      </c>
      <c r="Z331" s="1">
        <v>77.039999999999992</v>
      </c>
      <c r="AA331" s="1" t="s">
        <v>68</v>
      </c>
    </row>
    <row r="332" spans="1:27" x14ac:dyDescent="0.25">
      <c r="A332" s="1">
        <f t="shared" si="7"/>
        <v>328</v>
      </c>
      <c r="B332" s="1">
        <v>499.28801765629959</v>
      </c>
      <c r="C332" s="1">
        <v>895.97399999999993</v>
      </c>
      <c r="D332" s="1">
        <v>-26.852935166665077</v>
      </c>
      <c r="E332" s="1">
        <v>6.3</v>
      </c>
      <c r="F332" s="1" t="s">
        <v>26</v>
      </c>
      <c r="G332" s="1" t="s">
        <v>25</v>
      </c>
      <c r="H332" s="1">
        <v>1160</v>
      </c>
      <c r="J332" s="1">
        <v>85.8</v>
      </c>
      <c r="K332" s="1" t="s">
        <v>46</v>
      </c>
      <c r="R332" s="1">
        <v>431.93501765629958</v>
      </c>
      <c r="S332" s="1">
        <v>1075.1687999999999</v>
      </c>
      <c r="T332" s="1">
        <v>-26.852935166665077</v>
      </c>
      <c r="U332" s="1">
        <v>6.3</v>
      </c>
      <c r="V332" s="1" t="s">
        <v>26</v>
      </c>
      <c r="W332" s="1" t="s">
        <v>25</v>
      </c>
      <c r="X332" s="1">
        <v>1160</v>
      </c>
      <c r="Z332" s="1">
        <v>77.22</v>
      </c>
      <c r="AA332" s="1" t="s">
        <v>68</v>
      </c>
    </row>
    <row r="333" spans="1:27" x14ac:dyDescent="0.25">
      <c r="A333" s="1">
        <f t="shared" si="7"/>
        <v>329</v>
      </c>
      <c r="B333" s="1">
        <v>505.27180369624909</v>
      </c>
      <c r="C333" s="1" t="s">
        <v>47</v>
      </c>
      <c r="D333" s="1">
        <v>-1534.1945991136729</v>
      </c>
      <c r="F333" s="1" t="s">
        <v>22</v>
      </c>
      <c r="G333" s="1" t="s">
        <v>17</v>
      </c>
      <c r="H333" s="1">
        <v>1169.9749999999999</v>
      </c>
      <c r="J333" s="1">
        <v>87.2</v>
      </c>
      <c r="K333" s="1" t="s">
        <v>46</v>
      </c>
      <c r="R333" s="1">
        <v>437.91880369624909</v>
      </c>
      <c r="S333" s="1" t="e">
        <v>#VALUE!</v>
      </c>
      <c r="T333" s="1">
        <v>-1534.1945991136729</v>
      </c>
      <c r="V333" s="1" t="s">
        <v>22</v>
      </c>
      <c r="W333" s="1" t="s">
        <v>17</v>
      </c>
      <c r="X333" s="1">
        <v>1169.9749999999999</v>
      </c>
      <c r="Z333" s="1">
        <v>78.48</v>
      </c>
      <c r="AA333" s="1" t="s">
        <v>68</v>
      </c>
    </row>
    <row r="334" spans="1:27" x14ac:dyDescent="0.25">
      <c r="A334" s="1">
        <f t="shared" si="7"/>
        <v>330</v>
      </c>
      <c r="B334" s="1">
        <v>509.56864531206554</v>
      </c>
      <c r="C334" s="1">
        <v>902.32199999999989</v>
      </c>
      <c r="D334" s="1">
        <v>-40.41482861316905</v>
      </c>
      <c r="E334" s="1">
        <v>10.199999999999999</v>
      </c>
      <c r="F334" s="1" t="s">
        <v>26</v>
      </c>
      <c r="G334" s="1" t="s">
        <v>19</v>
      </c>
      <c r="H334" s="1">
        <v>1177.1379999999999</v>
      </c>
      <c r="J334" s="1">
        <v>87.3</v>
      </c>
      <c r="K334" s="1" t="s">
        <v>46</v>
      </c>
      <c r="R334" s="1">
        <v>442.21564531206553</v>
      </c>
      <c r="S334" s="1">
        <v>1082.7863999999997</v>
      </c>
      <c r="T334" s="1">
        <v>-40.41482861316905</v>
      </c>
      <c r="U334" s="1">
        <v>10.199999999999999</v>
      </c>
      <c r="V334" s="1" t="s">
        <v>26</v>
      </c>
      <c r="W334" s="1" t="s">
        <v>19</v>
      </c>
      <c r="X334" s="1">
        <v>1177.1379999999999</v>
      </c>
      <c r="Z334" s="1">
        <v>78.569999999999993</v>
      </c>
      <c r="AA334" s="1" t="s">
        <v>68</v>
      </c>
    </row>
    <row r="335" spans="1:27" x14ac:dyDescent="0.25">
      <c r="A335" s="1">
        <f t="shared" si="7"/>
        <v>331</v>
      </c>
      <c r="B335" s="1">
        <v>509.56864531206554</v>
      </c>
      <c r="C335" s="1">
        <v>902.22</v>
      </c>
      <c r="D335" s="1">
        <v>-40.584828613168895</v>
      </c>
      <c r="E335" s="1">
        <v>10.3</v>
      </c>
      <c r="F335" s="1" t="s">
        <v>24</v>
      </c>
      <c r="G335" s="1" t="s">
        <v>25</v>
      </c>
      <c r="H335" s="1">
        <v>1177.1379999999999</v>
      </c>
      <c r="J335" s="1">
        <v>87.3</v>
      </c>
      <c r="K335" s="1" t="s">
        <v>46</v>
      </c>
      <c r="R335" s="1">
        <v>442.21564531206553</v>
      </c>
      <c r="S335" s="1">
        <v>1082.664</v>
      </c>
      <c r="T335" s="1">
        <v>-40.584828613168895</v>
      </c>
      <c r="U335" s="1">
        <v>10.3</v>
      </c>
      <c r="V335" s="1" t="s">
        <v>24</v>
      </c>
      <c r="W335" s="1" t="s">
        <v>25</v>
      </c>
      <c r="X335" s="1">
        <v>1177.1379999999999</v>
      </c>
      <c r="Z335" s="1">
        <v>78.569999999999993</v>
      </c>
      <c r="AA335" s="1" t="s">
        <v>68</v>
      </c>
    </row>
    <row r="336" spans="1:27" x14ac:dyDescent="0.25">
      <c r="A336" s="1">
        <f t="shared" si="7"/>
        <v>332</v>
      </c>
      <c r="B336" s="1">
        <v>509.56864531206554</v>
      </c>
      <c r="C336" s="1">
        <v>902.23799999999994</v>
      </c>
      <c r="D336" s="1">
        <v>-40.554828613168922</v>
      </c>
      <c r="E336" s="1">
        <v>10.199999999999999</v>
      </c>
      <c r="F336" s="1" t="s">
        <v>26</v>
      </c>
      <c r="G336" s="1" t="s">
        <v>25</v>
      </c>
      <c r="H336" s="1">
        <v>1177.1379999999999</v>
      </c>
      <c r="J336" s="1">
        <v>87.3</v>
      </c>
      <c r="K336" s="1" t="s">
        <v>46</v>
      </c>
      <c r="R336" s="1">
        <v>442.21564531206553</v>
      </c>
      <c r="S336" s="1">
        <v>1082.6855999999998</v>
      </c>
      <c r="T336" s="1">
        <v>-40.554828613168922</v>
      </c>
      <c r="U336" s="1">
        <v>10.199999999999999</v>
      </c>
      <c r="V336" s="1" t="s">
        <v>26</v>
      </c>
      <c r="W336" s="1" t="s">
        <v>25</v>
      </c>
      <c r="X336" s="1">
        <v>1177.1379999999999</v>
      </c>
      <c r="Z336" s="1">
        <v>78.569999999999993</v>
      </c>
      <c r="AA336" s="1" t="s">
        <v>68</v>
      </c>
    </row>
    <row r="337" spans="1:27" x14ac:dyDescent="0.25">
      <c r="A337" s="1">
        <f t="shared" si="7"/>
        <v>333</v>
      </c>
      <c r="B337" s="1">
        <v>518.02485127534192</v>
      </c>
      <c r="C337" s="1" t="s">
        <v>47</v>
      </c>
      <c r="D337" s="1">
        <v>-1564.1424511400007</v>
      </c>
      <c r="E337" s="1">
        <v>3.7</v>
      </c>
      <c r="F337" s="1" t="s">
        <v>29</v>
      </c>
      <c r="G337" s="1" t="s">
        <v>17</v>
      </c>
      <c r="H337" s="1">
        <v>1191.2349999999999</v>
      </c>
      <c r="J337" s="1">
        <v>87.5</v>
      </c>
      <c r="K337" s="1" t="s">
        <v>46</v>
      </c>
      <c r="R337" s="1">
        <v>450.67185127534191</v>
      </c>
      <c r="S337" s="1" t="e">
        <v>#VALUE!</v>
      </c>
      <c r="T337" s="1">
        <v>-1564.1424511400007</v>
      </c>
      <c r="U337" s="1">
        <v>3.7</v>
      </c>
      <c r="V337" s="1" t="s">
        <v>29</v>
      </c>
      <c r="W337" s="1" t="s">
        <v>17</v>
      </c>
      <c r="X337" s="1">
        <v>1191.2349999999999</v>
      </c>
      <c r="Z337" s="1">
        <v>78.75</v>
      </c>
      <c r="AA337" s="1" t="s">
        <v>68</v>
      </c>
    </row>
    <row r="338" spans="1:27" x14ac:dyDescent="0.25">
      <c r="A338" s="1">
        <f t="shared" si="7"/>
        <v>334</v>
      </c>
      <c r="B338" s="1">
        <v>518.02485127534192</v>
      </c>
      <c r="C338" s="1" t="s">
        <v>47</v>
      </c>
      <c r="D338" s="1">
        <v>-1564.1424511400007</v>
      </c>
      <c r="F338" s="1" t="s">
        <v>28</v>
      </c>
      <c r="G338" s="1" t="s">
        <v>17</v>
      </c>
      <c r="H338" s="1">
        <v>1191.2349999999999</v>
      </c>
      <c r="J338" s="1">
        <v>87.6</v>
      </c>
      <c r="K338" s="1" t="s">
        <v>46</v>
      </c>
      <c r="R338" s="1">
        <v>450.67185127534191</v>
      </c>
      <c r="S338" s="1" t="e">
        <v>#VALUE!</v>
      </c>
      <c r="T338" s="1">
        <v>-1564.1424511400007</v>
      </c>
      <c r="V338" s="1" t="s">
        <v>28</v>
      </c>
      <c r="W338" s="1" t="s">
        <v>17</v>
      </c>
      <c r="X338" s="1">
        <v>1191.2349999999999</v>
      </c>
      <c r="Z338" s="1">
        <v>78.839999999999989</v>
      </c>
      <c r="AA338" s="1" t="s">
        <v>68</v>
      </c>
    </row>
    <row r="339" spans="1:27" x14ac:dyDescent="0.25">
      <c r="A339" s="1">
        <f t="shared" si="7"/>
        <v>335</v>
      </c>
      <c r="B339" s="1">
        <v>527.12063796266932</v>
      </c>
      <c r="C339" s="1" t="s">
        <v>47</v>
      </c>
      <c r="D339" s="1">
        <v>-1585.5019945813419</v>
      </c>
      <c r="F339" s="1" t="s">
        <v>22</v>
      </c>
      <c r="G339" s="1" t="s">
        <v>17</v>
      </c>
      <c r="H339" s="1">
        <v>1206.3979999999999</v>
      </c>
      <c r="J339" s="1">
        <v>87.6</v>
      </c>
      <c r="K339" s="1" t="s">
        <v>46</v>
      </c>
      <c r="R339" s="1">
        <v>459.76763796266931</v>
      </c>
      <c r="S339" s="1" t="e">
        <v>#VALUE!</v>
      </c>
      <c r="T339" s="1">
        <v>-1585.5019945813419</v>
      </c>
      <c r="V339" s="1" t="s">
        <v>22</v>
      </c>
      <c r="W339" s="1" t="s">
        <v>17</v>
      </c>
      <c r="X339" s="1">
        <v>1206.3979999999999</v>
      </c>
      <c r="Z339" s="1">
        <v>78.839999999999989</v>
      </c>
      <c r="AA339" s="1" t="s">
        <v>68</v>
      </c>
    </row>
    <row r="340" spans="1:27" x14ac:dyDescent="0.25">
      <c r="A340" s="1">
        <f t="shared" si="7"/>
        <v>336</v>
      </c>
      <c r="B340" s="1">
        <v>534.7546648944882</v>
      </c>
      <c r="C340" s="1">
        <v>940.35599999999999</v>
      </c>
      <c r="D340" s="1">
        <v>-36.168902444048911</v>
      </c>
      <c r="E340" s="1">
        <v>4.8</v>
      </c>
      <c r="F340" s="1" t="s">
        <v>24</v>
      </c>
      <c r="G340" s="1" t="s">
        <v>19</v>
      </c>
      <c r="H340" s="1">
        <v>1219.124</v>
      </c>
      <c r="J340" s="1">
        <v>88.3</v>
      </c>
      <c r="K340" s="1" t="s">
        <v>46</v>
      </c>
      <c r="R340" s="1">
        <v>467.40166489448819</v>
      </c>
      <c r="S340" s="1">
        <v>1128.4271999999999</v>
      </c>
      <c r="T340" s="1">
        <v>-36.168902444048911</v>
      </c>
      <c r="U340" s="1">
        <v>4.8</v>
      </c>
      <c r="V340" s="1" t="s">
        <v>24</v>
      </c>
      <c r="W340" s="1" t="s">
        <v>19</v>
      </c>
      <c r="X340" s="1">
        <v>1219.124</v>
      </c>
      <c r="Z340" s="1">
        <v>79.47</v>
      </c>
      <c r="AA340" s="1" t="s">
        <v>68</v>
      </c>
    </row>
    <row r="341" spans="1:27" x14ac:dyDescent="0.25">
      <c r="A341" s="1">
        <f t="shared" si="7"/>
        <v>337</v>
      </c>
      <c r="B341" s="1">
        <v>534.7546648944882</v>
      </c>
      <c r="C341" s="1">
        <v>940.35599999999999</v>
      </c>
      <c r="D341" s="1">
        <v>-36.168902444048911</v>
      </c>
      <c r="E341" s="1">
        <v>5.0999999999999996</v>
      </c>
      <c r="F341" s="1" t="s">
        <v>26</v>
      </c>
      <c r="G341" s="1" t="s">
        <v>25</v>
      </c>
      <c r="H341" s="1">
        <v>1219.124</v>
      </c>
      <c r="J341" s="1">
        <v>88.4</v>
      </c>
      <c r="K341" s="1" t="s">
        <v>46</v>
      </c>
      <c r="R341" s="1">
        <v>467.40166489448819</v>
      </c>
      <c r="S341" s="1">
        <v>1128.4271999999999</v>
      </c>
      <c r="T341" s="1">
        <v>-36.168902444048911</v>
      </c>
      <c r="U341" s="1">
        <v>5.0999999999999996</v>
      </c>
      <c r="V341" s="1" t="s">
        <v>26</v>
      </c>
      <c r="W341" s="1" t="s">
        <v>25</v>
      </c>
      <c r="X341" s="1">
        <v>1219.124</v>
      </c>
      <c r="Z341" s="1">
        <v>79.56</v>
      </c>
      <c r="AA341" s="1" t="s">
        <v>68</v>
      </c>
    </row>
    <row r="342" spans="1:27" x14ac:dyDescent="0.25">
      <c r="A342" s="1">
        <f t="shared" si="7"/>
        <v>338</v>
      </c>
      <c r="B342" s="1">
        <v>539.0054038660528</v>
      </c>
      <c r="C342" s="1">
        <v>946.78800000000001</v>
      </c>
      <c r="D342" s="1">
        <v>-35.430869572569293</v>
      </c>
      <c r="E342" s="1">
        <v>4.4000000000000004</v>
      </c>
      <c r="F342" s="1" t="s">
        <v>26</v>
      </c>
      <c r="G342" s="1" t="s">
        <v>25</v>
      </c>
      <c r="H342" s="1">
        <v>1226.21</v>
      </c>
      <c r="J342" s="1">
        <v>88.5</v>
      </c>
      <c r="K342" s="1" t="s">
        <v>46</v>
      </c>
      <c r="R342" s="1">
        <v>471.65240386605279</v>
      </c>
      <c r="S342" s="1">
        <v>1136.1456000000001</v>
      </c>
      <c r="T342" s="1">
        <v>-35.430869572569293</v>
      </c>
      <c r="U342" s="1">
        <v>4.4000000000000004</v>
      </c>
      <c r="V342" s="1" t="s">
        <v>26</v>
      </c>
      <c r="W342" s="1" t="s">
        <v>25</v>
      </c>
      <c r="X342" s="1">
        <v>1226.21</v>
      </c>
      <c r="Z342" s="1">
        <v>79.650000000000006</v>
      </c>
      <c r="AA342" s="1" t="s">
        <v>68</v>
      </c>
    </row>
    <row r="343" spans="1:27" x14ac:dyDescent="0.25">
      <c r="A343" s="1">
        <f t="shared" si="7"/>
        <v>339</v>
      </c>
      <c r="B343" s="1">
        <v>539.0054038660528</v>
      </c>
      <c r="C343" s="1">
        <v>946.8599999999999</v>
      </c>
      <c r="D343" s="1">
        <v>-35.310869572569402</v>
      </c>
      <c r="E343" s="1">
        <v>4.3</v>
      </c>
      <c r="F343" s="1" t="s">
        <v>24</v>
      </c>
      <c r="G343" s="1" t="s">
        <v>19</v>
      </c>
      <c r="H343" s="1">
        <v>1226.21</v>
      </c>
      <c r="J343" s="1">
        <v>88.6</v>
      </c>
      <c r="K343" s="1" t="s">
        <v>46</v>
      </c>
      <c r="R343" s="1">
        <v>471.65240386605279</v>
      </c>
      <c r="S343" s="1">
        <v>1136.2319999999997</v>
      </c>
      <c r="T343" s="1">
        <v>-35.310869572569402</v>
      </c>
      <c r="U343" s="1">
        <v>4.3</v>
      </c>
      <c r="V343" s="1" t="s">
        <v>24</v>
      </c>
      <c r="W343" s="1" t="s">
        <v>19</v>
      </c>
      <c r="X343" s="1">
        <v>1226.21</v>
      </c>
      <c r="Z343" s="1">
        <v>79.739999999999995</v>
      </c>
      <c r="AA343" s="1" t="s">
        <v>68</v>
      </c>
    </row>
    <row r="344" spans="1:27" x14ac:dyDescent="0.25">
      <c r="A344" s="1">
        <f t="shared" si="7"/>
        <v>340</v>
      </c>
      <c r="B344" s="1">
        <v>543.21107576619022</v>
      </c>
      <c r="C344" s="1">
        <v>961.54199999999992</v>
      </c>
      <c r="D344" s="1">
        <v>-20.717006155254296</v>
      </c>
      <c r="E344" s="1">
        <v>4.3</v>
      </c>
      <c r="F344" s="1" t="s">
        <v>26</v>
      </c>
      <c r="G344" s="1" t="s">
        <v>25</v>
      </c>
      <c r="H344" s="1">
        <v>1233.221</v>
      </c>
      <c r="K344" s="1" t="s">
        <v>46</v>
      </c>
      <c r="R344" s="1">
        <v>475.85807576619021</v>
      </c>
      <c r="S344" s="1">
        <v>1153.8503999999998</v>
      </c>
      <c r="T344" s="1">
        <v>-20.717006155254296</v>
      </c>
      <c r="U344" s="1">
        <v>4.3</v>
      </c>
      <c r="V344" s="1" t="s">
        <v>26</v>
      </c>
      <c r="W344" s="1" t="s">
        <v>25</v>
      </c>
      <c r="X344" s="1">
        <v>1233.221</v>
      </c>
      <c r="Z344" s="1">
        <v>0</v>
      </c>
      <c r="AA344" s="1" t="s">
        <v>68</v>
      </c>
    </row>
    <row r="345" spans="1:27" x14ac:dyDescent="0.25">
      <c r="A345" s="1">
        <f t="shared" si="7"/>
        <v>341</v>
      </c>
      <c r="B345" s="1">
        <v>543.21107576619022</v>
      </c>
      <c r="C345" s="1">
        <v>961.53</v>
      </c>
      <c r="D345" s="1">
        <v>-20.737006155254278</v>
      </c>
      <c r="E345" s="1">
        <v>4.3</v>
      </c>
      <c r="F345" s="1" t="s">
        <v>24</v>
      </c>
      <c r="G345" s="1" t="s">
        <v>19</v>
      </c>
      <c r="H345" s="1">
        <v>1233.221</v>
      </c>
      <c r="J345" s="1">
        <v>88.9</v>
      </c>
      <c r="K345" s="1" t="s">
        <v>46</v>
      </c>
      <c r="R345" s="1">
        <v>475.85807576619021</v>
      </c>
      <c r="S345" s="1">
        <v>1153.836</v>
      </c>
      <c r="T345" s="1">
        <v>-20.737006155254278</v>
      </c>
      <c r="U345" s="1">
        <v>4.3</v>
      </c>
      <c r="V345" s="1" t="s">
        <v>24</v>
      </c>
      <c r="W345" s="1" t="s">
        <v>19</v>
      </c>
      <c r="X345" s="1">
        <v>1233.221</v>
      </c>
      <c r="Z345" s="1">
        <v>80.010000000000005</v>
      </c>
      <c r="AA345" s="1" t="s">
        <v>68</v>
      </c>
    </row>
    <row r="346" spans="1:27" x14ac:dyDescent="0.25">
      <c r="A346" s="1">
        <f t="shared" si="7"/>
        <v>342</v>
      </c>
      <c r="B346" s="1">
        <v>557.88296527053774</v>
      </c>
      <c r="C346" s="1" t="s">
        <v>47</v>
      </c>
      <c r="D346" s="1">
        <v>-1657.7408551743047</v>
      </c>
      <c r="F346" s="1" t="s">
        <v>22</v>
      </c>
      <c r="G346" s="1" t="s">
        <v>17</v>
      </c>
      <c r="H346" s="1">
        <v>1257.681</v>
      </c>
      <c r="J346" s="1">
        <v>89.8</v>
      </c>
      <c r="K346" s="1" t="s">
        <v>46</v>
      </c>
      <c r="R346" s="1">
        <v>490.52996527053773</v>
      </c>
      <c r="S346" s="1" t="e">
        <v>#VALUE!</v>
      </c>
      <c r="T346" s="1">
        <v>-1657.7408551743047</v>
      </c>
      <c r="V346" s="1" t="s">
        <v>22</v>
      </c>
      <c r="W346" s="1" t="s">
        <v>17</v>
      </c>
      <c r="X346" s="1">
        <v>1257.681</v>
      </c>
      <c r="Z346" s="1">
        <v>80.819999999999993</v>
      </c>
      <c r="AA346" s="1" t="s">
        <v>68</v>
      </c>
    </row>
    <row r="347" spans="1:27" x14ac:dyDescent="0.25">
      <c r="A347" s="1">
        <f t="shared" si="7"/>
        <v>343</v>
      </c>
      <c r="B347" s="1">
        <v>567.618548320022</v>
      </c>
      <c r="C347" s="1">
        <v>985.39799999999991</v>
      </c>
      <c r="D347" s="1">
        <v>-38.272825910927907</v>
      </c>
      <c r="E347" s="1">
        <v>7.3</v>
      </c>
      <c r="F347" s="1" t="s">
        <v>26</v>
      </c>
      <c r="G347" s="1" t="s">
        <v>25</v>
      </c>
      <c r="H347" s="1">
        <v>1273.912</v>
      </c>
      <c r="J347" s="1">
        <v>89.9</v>
      </c>
      <c r="K347" s="1" t="s">
        <v>46</v>
      </c>
      <c r="R347" s="1">
        <v>500.26554832002199</v>
      </c>
      <c r="S347" s="1">
        <v>1182.4775999999999</v>
      </c>
      <c r="T347" s="1">
        <v>-38.272825910927907</v>
      </c>
      <c r="U347" s="1">
        <v>7.3</v>
      </c>
      <c r="V347" s="1" t="s">
        <v>26</v>
      </c>
      <c r="W347" s="1" t="s">
        <v>25</v>
      </c>
      <c r="X347" s="1">
        <v>1273.912</v>
      </c>
      <c r="Z347" s="1">
        <v>80.910000000000011</v>
      </c>
      <c r="AA347" s="1" t="s">
        <v>68</v>
      </c>
    </row>
    <row r="348" spans="1:27" x14ac:dyDescent="0.25">
      <c r="A348" s="1">
        <f t="shared" si="7"/>
        <v>344</v>
      </c>
      <c r="B348" s="1">
        <v>470.3129897540008</v>
      </c>
      <c r="C348" s="1" t="s">
        <v>47</v>
      </c>
      <c r="D348" s="1">
        <v>-1452.1011716042574</v>
      </c>
      <c r="F348" s="1" t="s">
        <v>27</v>
      </c>
      <c r="G348" s="1" t="s">
        <v>17</v>
      </c>
      <c r="H348" s="1">
        <v>1111.7</v>
      </c>
      <c r="J348" s="1">
        <v>88.6</v>
      </c>
      <c r="K348" s="1" t="s">
        <v>46</v>
      </c>
      <c r="R348" s="1">
        <v>402.95998975400079</v>
      </c>
      <c r="S348" s="1" t="e">
        <v>#VALUE!</v>
      </c>
      <c r="T348" s="1">
        <v>-1452.1011716042574</v>
      </c>
      <c r="V348" s="1" t="s">
        <v>27</v>
      </c>
      <c r="W348" s="1" t="s">
        <v>17</v>
      </c>
      <c r="X348" s="1">
        <v>1111.7</v>
      </c>
      <c r="Z348" s="1">
        <v>79.739999999999995</v>
      </c>
      <c r="AA348" s="1" t="s">
        <v>68</v>
      </c>
    </row>
    <row r="349" spans="1:27" x14ac:dyDescent="0.25">
      <c r="A349" s="1">
        <f t="shared" si="7"/>
        <v>345</v>
      </c>
      <c r="B349" s="1">
        <v>470.25299947382723</v>
      </c>
      <c r="C349" s="1" t="s">
        <v>47</v>
      </c>
      <c r="D349" s="1">
        <v>-1451.960297038981</v>
      </c>
      <c r="E349" s="1">
        <v>23.3</v>
      </c>
      <c r="F349" s="1" t="s">
        <v>36</v>
      </c>
      <c r="G349" s="1" t="s">
        <v>17</v>
      </c>
      <c r="H349" s="1">
        <v>1111.5999999999999</v>
      </c>
      <c r="K349" s="1" t="s">
        <v>46</v>
      </c>
      <c r="R349" s="1">
        <v>402.89999947382722</v>
      </c>
      <c r="S349" s="1" t="e">
        <v>#VALUE!</v>
      </c>
      <c r="T349" s="1">
        <v>-1451.960297038981</v>
      </c>
      <c r="U349" s="1">
        <v>23.3</v>
      </c>
      <c r="V349" s="1" t="s">
        <v>36</v>
      </c>
      <c r="W349" s="1" t="s">
        <v>17</v>
      </c>
      <c r="X349" s="1">
        <v>1111.5999999999999</v>
      </c>
      <c r="Z349" s="1">
        <v>0</v>
      </c>
      <c r="AA349" s="1" t="s">
        <v>68</v>
      </c>
    </row>
    <row r="350" spans="1:27" x14ac:dyDescent="0.25">
      <c r="A350" s="1">
        <f t="shared" si="7"/>
        <v>346</v>
      </c>
      <c r="B350" s="1">
        <v>491.48928361582728</v>
      </c>
      <c r="C350" s="1">
        <v>876.9</v>
      </c>
      <c r="D350" s="1">
        <v>-40.329247274553666</v>
      </c>
      <c r="E350" s="1">
        <v>65</v>
      </c>
      <c r="F350" s="1" t="s">
        <v>24</v>
      </c>
      <c r="G350" s="1" t="s">
        <v>19</v>
      </c>
      <c r="H350" s="1">
        <v>1147</v>
      </c>
      <c r="J350" s="1">
        <v>89.4</v>
      </c>
      <c r="K350" s="1" t="s">
        <v>46</v>
      </c>
      <c r="R350" s="1">
        <v>424.13628361582727</v>
      </c>
      <c r="S350" s="1">
        <v>1052.28</v>
      </c>
      <c r="T350" s="1">
        <v>-40.329247274553666</v>
      </c>
      <c r="U350" s="1">
        <v>65</v>
      </c>
      <c r="V350" s="1" t="s">
        <v>24</v>
      </c>
      <c r="W350" s="1" t="s">
        <v>19</v>
      </c>
      <c r="X350" s="1">
        <v>1147</v>
      </c>
      <c r="Z350" s="1">
        <v>80.460000000000008</v>
      </c>
      <c r="AA350" s="1" t="s">
        <v>68</v>
      </c>
    </row>
    <row r="351" spans="1:27" x14ac:dyDescent="0.25">
      <c r="A351" s="1">
        <f t="shared" si="7"/>
        <v>347</v>
      </c>
      <c r="B351" s="1">
        <v>491.48928361582728</v>
      </c>
      <c r="C351" s="1" t="s">
        <v>47</v>
      </c>
      <c r="D351" s="1">
        <v>-1501.8292472745536</v>
      </c>
      <c r="E351" s="1">
        <v>10.8</v>
      </c>
      <c r="F351" s="1" t="s">
        <v>36</v>
      </c>
      <c r="G351" s="1" t="s">
        <v>17</v>
      </c>
      <c r="H351" s="1">
        <v>1147</v>
      </c>
      <c r="J351" s="1">
        <v>89.5</v>
      </c>
      <c r="K351" s="1" t="s">
        <v>46</v>
      </c>
      <c r="R351" s="1">
        <v>424.13628361582727</v>
      </c>
      <c r="S351" s="1" t="e">
        <v>#VALUE!</v>
      </c>
      <c r="T351" s="1">
        <v>-1501.8292472745536</v>
      </c>
      <c r="U351" s="1">
        <v>10.8</v>
      </c>
      <c r="V351" s="1" t="s">
        <v>36</v>
      </c>
      <c r="W351" s="1" t="s">
        <v>17</v>
      </c>
      <c r="X351" s="1">
        <v>1147</v>
      </c>
      <c r="Z351" s="1">
        <v>80.55</v>
      </c>
      <c r="AA351" s="1" t="s">
        <v>68</v>
      </c>
    </row>
    <row r="352" spans="1:27" x14ac:dyDescent="0.25">
      <c r="A352" s="1">
        <f t="shared" si="7"/>
        <v>348</v>
      </c>
      <c r="B352" s="1">
        <v>509.36589147295052</v>
      </c>
      <c r="C352" s="1" t="s">
        <v>47</v>
      </c>
      <c r="D352" s="1">
        <v>-1543.8087038332737</v>
      </c>
      <c r="E352" s="1">
        <v>1</v>
      </c>
      <c r="F352" s="1" t="s">
        <v>28</v>
      </c>
      <c r="G352" s="1" t="s">
        <v>17</v>
      </c>
      <c r="H352" s="1">
        <v>1176.8</v>
      </c>
      <c r="J352" s="1">
        <v>90</v>
      </c>
      <c r="K352" s="1" t="s">
        <v>46</v>
      </c>
      <c r="R352" s="1">
        <v>442.01289147295051</v>
      </c>
      <c r="S352" s="1" t="e">
        <v>#VALUE!</v>
      </c>
      <c r="T352" s="1">
        <v>-1543.8087038332737</v>
      </c>
      <c r="U352" s="1">
        <v>1</v>
      </c>
      <c r="V352" s="1" t="s">
        <v>28</v>
      </c>
      <c r="W352" s="1" t="s">
        <v>17</v>
      </c>
      <c r="X352" s="1">
        <v>1176.8</v>
      </c>
      <c r="Z352" s="1">
        <v>81</v>
      </c>
      <c r="AA352" s="1" t="s">
        <v>68</v>
      </c>
    </row>
    <row r="353" spans="1:27" x14ac:dyDescent="0.25">
      <c r="A353" s="1">
        <f t="shared" si="7"/>
        <v>349</v>
      </c>
      <c r="B353" s="1">
        <v>509.66582315445311</v>
      </c>
      <c r="C353" s="1" t="s">
        <v>47</v>
      </c>
      <c r="D353" s="1">
        <v>-1544.5130303528715</v>
      </c>
      <c r="E353" s="1">
        <v>4.4000000000000004</v>
      </c>
      <c r="F353" s="1" t="s">
        <v>27</v>
      </c>
      <c r="G353" s="1" t="s">
        <v>17</v>
      </c>
      <c r="H353" s="1">
        <v>1177.2</v>
      </c>
      <c r="J353" s="1">
        <v>90</v>
      </c>
      <c r="K353" s="1" t="s">
        <v>46</v>
      </c>
      <c r="R353" s="1">
        <v>442.3128231544531</v>
      </c>
      <c r="S353" s="1" t="e">
        <v>#VALUE!</v>
      </c>
      <c r="T353" s="1">
        <v>-1544.5130303528715</v>
      </c>
      <c r="U353" s="1">
        <v>4.4000000000000004</v>
      </c>
      <c r="V353" s="1" t="s">
        <v>27</v>
      </c>
      <c r="W353" s="1" t="s">
        <v>17</v>
      </c>
      <c r="X353" s="1">
        <v>1177.2</v>
      </c>
      <c r="Z353" s="1">
        <v>81</v>
      </c>
      <c r="AA353" s="1" t="s">
        <v>68</v>
      </c>
    </row>
    <row r="354" spans="1:27" x14ac:dyDescent="0.25">
      <c r="A354" s="1">
        <f t="shared" si="7"/>
        <v>350</v>
      </c>
      <c r="B354" s="1">
        <v>509.66582315445311</v>
      </c>
      <c r="C354" s="1">
        <v>902.82</v>
      </c>
      <c r="D354" s="1">
        <v>-39.813030352871522</v>
      </c>
      <c r="E354" s="1">
        <v>19.7</v>
      </c>
      <c r="F354" s="1" t="s">
        <v>24</v>
      </c>
      <c r="G354" s="1" t="s">
        <v>19</v>
      </c>
      <c r="H354" s="1">
        <v>1177.3</v>
      </c>
      <c r="J354" s="1">
        <v>94.7</v>
      </c>
      <c r="K354" s="1" t="s">
        <v>46</v>
      </c>
      <c r="R354" s="1">
        <v>442.3128231544531</v>
      </c>
      <c r="S354" s="1">
        <v>1083.384</v>
      </c>
      <c r="T354" s="1">
        <v>-39.813030352871522</v>
      </c>
      <c r="U354" s="1">
        <v>19.7</v>
      </c>
      <c r="V354" s="1" t="s">
        <v>24</v>
      </c>
      <c r="W354" s="1" t="s">
        <v>19</v>
      </c>
      <c r="X354" s="1">
        <v>1177.3</v>
      </c>
      <c r="Z354" s="1">
        <v>85.23</v>
      </c>
      <c r="AA354" s="1" t="s">
        <v>68</v>
      </c>
    </row>
    <row r="355" spans="1:27" x14ac:dyDescent="0.25">
      <c r="A355" s="1">
        <f t="shared" si="7"/>
        <v>351</v>
      </c>
      <c r="B355" s="1">
        <v>509.66582315445311</v>
      </c>
      <c r="C355" s="1" t="s">
        <v>47</v>
      </c>
      <c r="D355" s="1">
        <v>-1544.5130303528715</v>
      </c>
      <c r="E355" s="1">
        <v>4.5</v>
      </c>
      <c r="F355" s="1" t="s">
        <v>36</v>
      </c>
      <c r="G355" s="1" t="s">
        <v>17</v>
      </c>
      <c r="H355" s="1">
        <v>1177.3</v>
      </c>
      <c r="J355" s="1">
        <v>94.7</v>
      </c>
      <c r="K355" s="1" t="s">
        <v>46</v>
      </c>
      <c r="R355" s="1">
        <v>442.3128231544531</v>
      </c>
      <c r="S355" s="1" t="e">
        <v>#VALUE!</v>
      </c>
      <c r="T355" s="1">
        <v>-1544.5130303528715</v>
      </c>
      <c r="U355" s="1">
        <v>4.5</v>
      </c>
      <c r="V355" s="1" t="s">
        <v>36</v>
      </c>
      <c r="W355" s="1" t="s">
        <v>17</v>
      </c>
      <c r="X355" s="1">
        <v>1177.3</v>
      </c>
      <c r="Z355" s="1">
        <v>85.23</v>
      </c>
      <c r="AA355" s="1" t="s">
        <v>68</v>
      </c>
    </row>
    <row r="356" spans="1:27" x14ac:dyDescent="0.25">
      <c r="A356" s="1">
        <f t="shared" si="7"/>
        <v>352</v>
      </c>
      <c r="B356" s="1">
        <v>504.5669569565822</v>
      </c>
      <c r="C356" s="1" t="s">
        <v>47</v>
      </c>
      <c r="D356" s="1">
        <v>-1532.5394146779627</v>
      </c>
      <c r="F356" s="1" t="s">
        <v>22</v>
      </c>
      <c r="G356" s="1" t="s">
        <v>17</v>
      </c>
      <c r="H356" s="1">
        <v>1168.8</v>
      </c>
      <c r="J356" s="1">
        <v>92.2</v>
      </c>
      <c r="K356" s="1" t="s">
        <v>46</v>
      </c>
      <c r="R356" s="1">
        <v>437.21395695658219</v>
      </c>
      <c r="S356" s="1" t="e">
        <v>#VALUE!</v>
      </c>
      <c r="T356" s="1">
        <v>-1532.5394146779627</v>
      </c>
      <c r="V356" s="1" t="s">
        <v>22</v>
      </c>
      <c r="W356" s="1" t="s">
        <v>17</v>
      </c>
      <c r="X356" s="1">
        <v>1168.8</v>
      </c>
      <c r="Z356" s="1">
        <v>82.98</v>
      </c>
      <c r="AA356" s="1" t="s">
        <v>68</v>
      </c>
    </row>
    <row r="357" spans="1:27" x14ac:dyDescent="0.25">
      <c r="A357" s="1">
        <f t="shared" si="7"/>
        <v>353</v>
      </c>
      <c r="B357" s="1">
        <v>504.44698293350996</v>
      </c>
      <c r="C357" s="1" t="s">
        <v>47</v>
      </c>
      <c r="D357" s="1">
        <v>-1532.2576808988256</v>
      </c>
      <c r="F357" s="1" t="s">
        <v>22</v>
      </c>
      <c r="G357" s="1" t="s">
        <v>17</v>
      </c>
      <c r="H357" s="1">
        <v>1168.5999999999999</v>
      </c>
      <c r="J357" s="1">
        <v>91.9</v>
      </c>
      <c r="K357" s="1" t="s">
        <v>46</v>
      </c>
      <c r="R357" s="1">
        <v>437.09398293350995</v>
      </c>
      <c r="S357" s="1" t="e">
        <v>#VALUE!</v>
      </c>
      <c r="T357" s="1">
        <v>-1532.2576808988256</v>
      </c>
      <c r="V357" s="1" t="s">
        <v>22</v>
      </c>
      <c r="W357" s="1" t="s">
        <v>17</v>
      </c>
      <c r="X357" s="1">
        <v>1168.5999999999999</v>
      </c>
      <c r="Z357" s="1">
        <v>82.71</v>
      </c>
      <c r="AA357" s="1" t="s">
        <v>68</v>
      </c>
    </row>
    <row r="358" spans="1:27" x14ac:dyDescent="0.25">
      <c r="A358" s="1">
        <f t="shared" si="7"/>
        <v>354</v>
      </c>
      <c r="B358" s="1">
        <v>504.80690490685674</v>
      </c>
      <c r="C358" s="1" t="s">
        <v>47</v>
      </c>
      <c r="D358" s="1">
        <v>-1533.1028820111062</v>
      </c>
      <c r="F358" s="1" t="s">
        <v>22</v>
      </c>
      <c r="G358" s="1" t="s">
        <v>17</v>
      </c>
      <c r="H358" s="1">
        <v>1169.2</v>
      </c>
      <c r="J358" s="1">
        <v>91.6</v>
      </c>
      <c r="K358" s="1" t="s">
        <v>46</v>
      </c>
      <c r="R358" s="1">
        <v>437.45390490685674</v>
      </c>
      <c r="S358" s="1" t="e">
        <v>#VALUE!</v>
      </c>
      <c r="T358" s="1">
        <v>-1533.1028820111062</v>
      </c>
      <c r="V358" s="1" t="s">
        <v>22</v>
      </c>
      <c r="W358" s="1" t="s">
        <v>17</v>
      </c>
      <c r="X358" s="1">
        <v>1169.2</v>
      </c>
      <c r="Z358" s="1">
        <v>82.44</v>
      </c>
      <c r="AA358" s="1" t="s">
        <v>68</v>
      </c>
    </row>
    <row r="359" spans="1:27" x14ac:dyDescent="0.25">
      <c r="A359" s="1">
        <f t="shared" si="7"/>
        <v>355</v>
      </c>
      <c r="B359" s="1">
        <v>504.68693094770424</v>
      </c>
      <c r="C359" s="1" t="s">
        <v>47</v>
      </c>
      <c r="D359" s="1">
        <v>-1532.8211483820714</v>
      </c>
      <c r="F359" s="1" t="s">
        <v>22</v>
      </c>
      <c r="G359" s="1" t="s">
        <v>17</v>
      </c>
      <c r="H359" s="1">
        <v>1169</v>
      </c>
      <c r="J359" s="1">
        <v>91.4</v>
      </c>
      <c r="K359" s="1" t="s">
        <v>46</v>
      </c>
      <c r="R359" s="1">
        <v>437.33393094770423</v>
      </c>
      <c r="S359" s="1" t="e">
        <v>#VALUE!</v>
      </c>
      <c r="T359" s="1">
        <v>-1532.8211483820714</v>
      </c>
      <c r="V359" s="1" t="s">
        <v>22</v>
      </c>
      <c r="W359" s="1" t="s">
        <v>17</v>
      </c>
      <c r="X359" s="1">
        <v>1169</v>
      </c>
      <c r="Z359" s="1">
        <v>82.26</v>
      </c>
      <c r="AA359" s="1" t="s">
        <v>68</v>
      </c>
    </row>
    <row r="360" spans="1:27" x14ac:dyDescent="0.25">
      <c r="A360" s="1">
        <f t="shared" si="7"/>
        <v>356</v>
      </c>
      <c r="B360" s="1">
        <v>499.28801765629959</v>
      </c>
      <c r="C360" s="1">
        <v>895.42199999999991</v>
      </c>
      <c r="D360" s="1">
        <v>-27.77293516666515</v>
      </c>
      <c r="E360" s="1">
        <v>3.4</v>
      </c>
      <c r="F360" s="1" t="s">
        <v>24</v>
      </c>
      <c r="G360" s="1" t="s">
        <v>19</v>
      </c>
      <c r="H360" s="1">
        <v>1160</v>
      </c>
      <c r="J360" s="1">
        <v>90.7</v>
      </c>
      <c r="K360" s="1" t="s">
        <v>46</v>
      </c>
      <c r="R360" s="1">
        <v>431.93501765629958</v>
      </c>
      <c r="S360" s="1">
        <v>1074.5063999999998</v>
      </c>
      <c r="T360" s="1">
        <v>-27.77293516666515</v>
      </c>
      <c r="U360" s="1">
        <v>3.4</v>
      </c>
      <c r="V360" s="1" t="s">
        <v>24</v>
      </c>
      <c r="W360" s="1" t="s">
        <v>19</v>
      </c>
      <c r="X360" s="1">
        <v>1160</v>
      </c>
      <c r="Z360" s="1">
        <v>81.63</v>
      </c>
      <c r="AA360" s="1" t="s">
        <v>68</v>
      </c>
    </row>
    <row r="361" spans="1:27" x14ac:dyDescent="0.25">
      <c r="A361" s="1">
        <f t="shared" si="7"/>
        <v>357</v>
      </c>
      <c r="B361" s="1">
        <v>495.98859306695215</v>
      </c>
      <c r="C361" s="1" t="s">
        <v>47</v>
      </c>
      <c r="D361" s="1">
        <v>-1512.394929934112</v>
      </c>
      <c r="E361" s="1">
        <v>17.899999999999999</v>
      </c>
      <c r="F361" s="1" t="s">
        <v>37</v>
      </c>
      <c r="G361" s="1" t="s">
        <v>17</v>
      </c>
      <c r="H361" s="1">
        <v>1154.5</v>
      </c>
      <c r="J361" s="1">
        <v>89.6</v>
      </c>
      <c r="K361" s="1" t="s">
        <v>46</v>
      </c>
      <c r="R361" s="1">
        <v>428.63559306695214</v>
      </c>
      <c r="S361" s="1" t="e">
        <v>#VALUE!</v>
      </c>
      <c r="T361" s="1">
        <v>-1512.394929934112</v>
      </c>
      <c r="U361" s="1">
        <v>17.899999999999999</v>
      </c>
      <c r="V361" s="1" t="s">
        <v>37</v>
      </c>
      <c r="W361" s="1" t="s">
        <v>17</v>
      </c>
      <c r="X361" s="1">
        <v>1154.5</v>
      </c>
      <c r="Z361" s="1">
        <v>80.639999999999986</v>
      </c>
      <c r="AA361" s="1" t="s">
        <v>68</v>
      </c>
    </row>
    <row r="362" spans="1:27" x14ac:dyDescent="0.25">
      <c r="A362" s="1">
        <f t="shared" si="7"/>
        <v>358</v>
      </c>
      <c r="B362" s="1">
        <v>495.98859306695215</v>
      </c>
      <c r="C362" s="1" t="s">
        <v>47</v>
      </c>
      <c r="D362" s="1">
        <v>-1512.394929934112</v>
      </c>
      <c r="E362" s="1">
        <v>8</v>
      </c>
      <c r="F362" s="1" t="s">
        <v>36</v>
      </c>
      <c r="G362" s="1" t="s">
        <v>17</v>
      </c>
      <c r="H362" s="1">
        <v>1154.5</v>
      </c>
      <c r="J362" s="1">
        <v>91.9</v>
      </c>
      <c r="K362" s="1" t="s">
        <v>46</v>
      </c>
      <c r="R362" s="1">
        <v>428.63559306695214</v>
      </c>
      <c r="S362" s="1" t="e">
        <v>#VALUE!</v>
      </c>
      <c r="T362" s="1">
        <v>-1512.394929934112</v>
      </c>
      <c r="U362" s="1">
        <v>8</v>
      </c>
      <c r="V362" s="1" t="s">
        <v>36</v>
      </c>
      <c r="W362" s="1" t="s">
        <v>17</v>
      </c>
      <c r="X362" s="1">
        <v>1154.5</v>
      </c>
      <c r="Z362" s="1">
        <v>82.71</v>
      </c>
      <c r="AA362" s="1" t="s">
        <v>68</v>
      </c>
    </row>
    <row r="363" spans="1:27" x14ac:dyDescent="0.25">
      <c r="A363" s="1">
        <f t="shared" si="7"/>
        <v>359</v>
      </c>
      <c r="B363" s="1">
        <v>443.8561308974767</v>
      </c>
      <c r="C363" s="1">
        <v>825.79799999999989</v>
      </c>
      <c r="D363" s="1">
        <v>-13.642798820990095</v>
      </c>
      <c r="E363" s="1">
        <v>11.7</v>
      </c>
      <c r="F363" s="1" t="s">
        <v>24</v>
      </c>
      <c r="G363" s="1" t="s">
        <v>25</v>
      </c>
      <c r="H363" s="1">
        <v>1067.5999999999999</v>
      </c>
      <c r="J363" s="1">
        <v>89.9</v>
      </c>
      <c r="K363" s="1" t="s">
        <v>46</v>
      </c>
      <c r="R363" s="1">
        <v>376.50313089747669</v>
      </c>
      <c r="S363" s="1">
        <v>990.95759999999984</v>
      </c>
      <c r="T363" s="1">
        <v>-13.642798820990095</v>
      </c>
      <c r="U363" s="1">
        <v>11.7</v>
      </c>
      <c r="V363" s="1" t="s">
        <v>24</v>
      </c>
      <c r="W363" s="1" t="s">
        <v>25</v>
      </c>
      <c r="X363" s="1">
        <v>1067.5999999999999</v>
      </c>
      <c r="Z363" s="1">
        <v>80.910000000000011</v>
      </c>
      <c r="AA363" s="1" t="s">
        <v>68</v>
      </c>
    </row>
    <row r="364" spans="1:27" x14ac:dyDescent="0.25">
      <c r="A364" s="1">
        <f t="shared" si="7"/>
        <v>360</v>
      </c>
      <c r="B364" s="1">
        <v>443.7361448216447</v>
      </c>
      <c r="C364" s="1">
        <v>826.24199999999996</v>
      </c>
      <c r="D364" s="1">
        <v>-12.621036738479972</v>
      </c>
      <c r="E364" s="1">
        <v>8.5</v>
      </c>
      <c r="F364" s="1" t="s">
        <v>24</v>
      </c>
      <c r="G364" s="1" t="s">
        <v>19</v>
      </c>
      <c r="H364" s="1">
        <v>1067.4000000000001</v>
      </c>
      <c r="J364" s="1">
        <v>87.4</v>
      </c>
      <c r="K364" s="1" t="s">
        <v>46</v>
      </c>
      <c r="R364" s="1">
        <v>376.38314482164469</v>
      </c>
      <c r="S364" s="1">
        <v>991.49039999999991</v>
      </c>
      <c r="T364" s="1">
        <v>-12.621036738479972</v>
      </c>
      <c r="U364" s="1">
        <v>8.5</v>
      </c>
      <c r="V364" s="1" t="s">
        <v>24</v>
      </c>
      <c r="W364" s="1" t="s">
        <v>19</v>
      </c>
      <c r="X364" s="1">
        <v>1067.4000000000001</v>
      </c>
      <c r="Z364" s="1">
        <v>78.660000000000011</v>
      </c>
      <c r="AA364" s="1" t="s">
        <v>68</v>
      </c>
    </row>
    <row r="365" spans="1:27" x14ac:dyDescent="0.25">
      <c r="A365" s="1">
        <f t="shared" si="7"/>
        <v>361</v>
      </c>
      <c r="B365" s="1">
        <v>443.8561308974767</v>
      </c>
      <c r="C365" s="1">
        <v>826.62</v>
      </c>
      <c r="D365" s="1">
        <v>-12.272798820989976</v>
      </c>
      <c r="E365" s="1">
        <v>12.2</v>
      </c>
      <c r="F365" s="1" t="s">
        <v>24</v>
      </c>
      <c r="G365" s="1" t="s">
        <v>19</v>
      </c>
      <c r="H365" s="1">
        <v>1067.5999999999999</v>
      </c>
      <c r="J365" s="1">
        <v>87.2</v>
      </c>
      <c r="K365" s="1" t="s">
        <v>46</v>
      </c>
      <c r="R365" s="1">
        <v>376.50313089747669</v>
      </c>
      <c r="S365" s="1">
        <v>991.94399999999996</v>
      </c>
      <c r="T365" s="1">
        <v>-12.272798820989976</v>
      </c>
      <c r="U365" s="1">
        <v>12.2</v>
      </c>
      <c r="V365" s="1" t="s">
        <v>24</v>
      </c>
      <c r="W365" s="1" t="s">
        <v>19</v>
      </c>
      <c r="X365" s="1">
        <v>1067.5999999999999</v>
      </c>
      <c r="Z365" s="1">
        <v>78.48</v>
      </c>
      <c r="AA365" s="1" t="s">
        <v>68</v>
      </c>
    </row>
    <row r="366" spans="1:27" x14ac:dyDescent="0.25">
      <c r="A366" s="1">
        <f t="shared" si="7"/>
        <v>362</v>
      </c>
      <c r="B366" s="1">
        <v>443.8561308974767</v>
      </c>
      <c r="C366" s="1" t="s">
        <v>47</v>
      </c>
      <c r="D366" s="1">
        <v>-1389.97279882099</v>
      </c>
      <c r="E366" s="1">
        <v>16.3</v>
      </c>
      <c r="F366" s="1" t="s">
        <v>36</v>
      </c>
      <c r="G366" s="1" t="s">
        <v>17</v>
      </c>
      <c r="H366" s="1">
        <v>1067.5999999999999</v>
      </c>
      <c r="J366" s="1">
        <v>90</v>
      </c>
      <c r="K366" s="1" t="s">
        <v>46</v>
      </c>
      <c r="R366" s="1">
        <v>376.50313089747669</v>
      </c>
      <c r="S366" s="1" t="e">
        <v>#VALUE!</v>
      </c>
      <c r="T366" s="1">
        <v>-1389.97279882099</v>
      </c>
      <c r="U366" s="1">
        <v>16.3</v>
      </c>
      <c r="V366" s="1" t="s">
        <v>36</v>
      </c>
      <c r="W366" s="1" t="s">
        <v>17</v>
      </c>
      <c r="X366" s="1">
        <v>1067.5999999999999</v>
      </c>
      <c r="Z366" s="1">
        <v>81</v>
      </c>
      <c r="AA366" s="1" t="s">
        <v>68</v>
      </c>
    </row>
    <row r="367" spans="1:27" x14ac:dyDescent="0.25">
      <c r="A367" s="1">
        <f t="shared" si="7"/>
        <v>363</v>
      </c>
      <c r="B367" s="1">
        <v>244.36897411017583</v>
      </c>
      <c r="C367" s="1">
        <v>553.43999999999994</v>
      </c>
      <c r="D367" s="1">
        <v>0.88086416173126736</v>
      </c>
      <c r="E367" s="1">
        <v>8.9</v>
      </c>
      <c r="F367" s="1" t="s">
        <v>24</v>
      </c>
      <c r="G367" s="1" t="s">
        <v>19</v>
      </c>
      <c r="H367" s="1">
        <v>735.1</v>
      </c>
      <c r="J367" s="1">
        <v>74.2</v>
      </c>
      <c r="K367" s="1" t="s">
        <v>46</v>
      </c>
      <c r="R367" s="1">
        <v>177.01597411017582</v>
      </c>
      <c r="S367" s="1">
        <v>664.12799999999993</v>
      </c>
      <c r="T367" s="1">
        <v>0.88086416173126736</v>
      </c>
      <c r="U367" s="1">
        <v>8.9</v>
      </c>
      <c r="V367" s="1" t="s">
        <v>24</v>
      </c>
      <c r="W367" s="1" t="s">
        <v>19</v>
      </c>
      <c r="X367" s="1">
        <v>735.1</v>
      </c>
      <c r="Z367" s="1">
        <v>66.78</v>
      </c>
      <c r="AA367" s="1" t="s">
        <v>68</v>
      </c>
    </row>
    <row r="368" spans="1:27" x14ac:dyDescent="0.25">
      <c r="A368" s="1">
        <f t="shared" si="7"/>
        <v>364</v>
      </c>
      <c r="B368" s="1">
        <v>244.18898055064074</v>
      </c>
      <c r="C368" s="1">
        <v>553.50599999999997</v>
      </c>
      <c r="D368" s="1">
        <v>1.4135412083914503</v>
      </c>
      <c r="E368" s="1">
        <v>156.5</v>
      </c>
      <c r="F368" s="1" t="s">
        <v>24</v>
      </c>
      <c r="G368" s="1" t="s">
        <v>19</v>
      </c>
      <c r="H368" s="1">
        <v>734.8</v>
      </c>
      <c r="J368" s="1">
        <v>73.900000000000006</v>
      </c>
      <c r="K368" s="1" t="s">
        <v>46</v>
      </c>
      <c r="R368" s="1">
        <v>176.83598055064073</v>
      </c>
      <c r="S368" s="1">
        <v>664.20719999999994</v>
      </c>
      <c r="T368" s="1">
        <v>1.4135412083914503</v>
      </c>
      <c r="U368" s="1">
        <v>156.5</v>
      </c>
      <c r="V368" s="1" t="s">
        <v>24</v>
      </c>
      <c r="W368" s="1" t="s">
        <v>19</v>
      </c>
      <c r="X368" s="1">
        <v>734.8</v>
      </c>
      <c r="Z368" s="1">
        <v>66.510000000000005</v>
      </c>
      <c r="AA368" s="1" t="s">
        <v>68</v>
      </c>
    </row>
    <row r="369" spans="1:27" x14ac:dyDescent="0.25">
      <c r="A369" s="1">
        <f t="shared" si="7"/>
        <v>365</v>
      </c>
      <c r="B369" s="1">
        <v>256.90854056223742</v>
      </c>
      <c r="C369" s="1">
        <v>570.64200000000005</v>
      </c>
      <c r="D369" s="1">
        <v>0.10432769649531792</v>
      </c>
      <c r="E369" s="1">
        <v>386</v>
      </c>
      <c r="F369" s="1" t="s">
        <v>26</v>
      </c>
      <c r="G369" s="1" t="s">
        <v>25</v>
      </c>
      <c r="H369" s="1">
        <v>756</v>
      </c>
      <c r="J369" s="1">
        <v>73.400000000000006</v>
      </c>
      <c r="K369" s="1" t="s">
        <v>46</v>
      </c>
      <c r="R369" s="1">
        <v>189.55554056223741</v>
      </c>
      <c r="S369" s="1">
        <v>684.7704</v>
      </c>
      <c r="T369" s="1">
        <v>0.10432769649531792</v>
      </c>
      <c r="U369" s="1">
        <v>386</v>
      </c>
      <c r="V369" s="1" t="s">
        <v>26</v>
      </c>
      <c r="W369" s="1" t="s">
        <v>25</v>
      </c>
      <c r="X369" s="1">
        <v>756</v>
      </c>
      <c r="Z369" s="1">
        <v>66.06</v>
      </c>
      <c r="AA369" s="1" t="s">
        <v>68</v>
      </c>
    </row>
    <row r="370" spans="1:27" x14ac:dyDescent="0.25">
      <c r="A370" s="1">
        <f t="shared" si="7"/>
        <v>366</v>
      </c>
      <c r="B370" s="1">
        <v>256.90854056223742</v>
      </c>
      <c r="C370" s="1">
        <v>570.654</v>
      </c>
      <c r="D370" s="1">
        <v>0.12432769649529973</v>
      </c>
      <c r="E370" s="1">
        <v>142</v>
      </c>
      <c r="F370" s="1" t="s">
        <v>24</v>
      </c>
      <c r="G370" s="1" t="s">
        <v>25</v>
      </c>
      <c r="H370" s="1">
        <v>756</v>
      </c>
      <c r="J370" s="1">
        <v>73.400000000000006</v>
      </c>
      <c r="K370" s="1" t="s">
        <v>46</v>
      </c>
      <c r="R370" s="1">
        <v>189.55554056223741</v>
      </c>
      <c r="S370" s="1">
        <v>684.78480000000002</v>
      </c>
      <c r="T370" s="1">
        <v>0.12432769649529973</v>
      </c>
      <c r="U370" s="1">
        <v>142</v>
      </c>
      <c r="V370" s="1" t="s">
        <v>24</v>
      </c>
      <c r="W370" s="1" t="s">
        <v>25</v>
      </c>
      <c r="X370" s="1">
        <v>756</v>
      </c>
      <c r="Z370" s="1">
        <v>66.06</v>
      </c>
      <c r="AA370" s="1" t="s">
        <v>68</v>
      </c>
    </row>
    <row r="371" spans="1:27" x14ac:dyDescent="0.25">
      <c r="A371" s="1">
        <f t="shared" si="7"/>
        <v>367</v>
      </c>
      <c r="B371" s="1">
        <v>243.70899777809618</v>
      </c>
      <c r="C371" s="1">
        <v>546.26400000000001</v>
      </c>
      <c r="D371" s="1">
        <v>-9.5293201246975627</v>
      </c>
      <c r="E371" s="1">
        <v>196.7</v>
      </c>
      <c r="F371" s="1" t="s">
        <v>24</v>
      </c>
      <c r="G371" s="1" t="s">
        <v>19</v>
      </c>
      <c r="H371" s="1">
        <v>734</v>
      </c>
      <c r="J371" s="1">
        <v>74</v>
      </c>
      <c r="K371" s="1" t="s">
        <v>46</v>
      </c>
      <c r="R371" s="1">
        <v>176.3559977780962</v>
      </c>
      <c r="S371" s="1">
        <v>655.51679999999999</v>
      </c>
      <c r="T371" s="1">
        <v>-9.5293201246975627</v>
      </c>
      <c r="U371" s="1">
        <v>196.7</v>
      </c>
      <c r="V371" s="1" t="s">
        <v>24</v>
      </c>
      <c r="W371" s="1" t="s">
        <v>19</v>
      </c>
      <c r="X371" s="1">
        <v>734</v>
      </c>
      <c r="Z371" s="1">
        <v>66.599999999999994</v>
      </c>
      <c r="AA371" s="1" t="s">
        <v>68</v>
      </c>
    </row>
    <row r="372" spans="1:27" x14ac:dyDescent="0.25">
      <c r="A372" s="1">
        <f t="shared" si="7"/>
        <v>368</v>
      </c>
      <c r="B372" s="1">
        <v>243.70899777809618</v>
      </c>
      <c r="C372" s="1" t="s">
        <v>47</v>
      </c>
      <c r="D372" s="1">
        <v>-919.96932012469756</v>
      </c>
      <c r="E372" s="1">
        <v>18.100000000000001</v>
      </c>
      <c r="F372" s="1" t="s">
        <v>36</v>
      </c>
      <c r="G372" s="1" t="s">
        <v>17</v>
      </c>
      <c r="H372" s="1">
        <v>734</v>
      </c>
      <c r="J372" s="1">
        <v>74</v>
      </c>
      <c r="K372" s="1" t="s">
        <v>46</v>
      </c>
      <c r="R372" s="1">
        <v>176.3559977780962</v>
      </c>
      <c r="S372" s="1" t="e">
        <v>#VALUE!</v>
      </c>
      <c r="T372" s="1">
        <v>-919.96932012469756</v>
      </c>
      <c r="U372" s="1">
        <v>18.100000000000001</v>
      </c>
      <c r="V372" s="1" t="s">
        <v>36</v>
      </c>
      <c r="W372" s="1" t="s">
        <v>17</v>
      </c>
      <c r="X372" s="1">
        <v>734</v>
      </c>
      <c r="Z372" s="1">
        <v>66.599999999999994</v>
      </c>
      <c r="AA372" s="1" t="s">
        <v>68</v>
      </c>
    </row>
    <row r="373" spans="1:27" x14ac:dyDescent="0.25">
      <c r="A373" s="1">
        <f t="shared" si="7"/>
        <v>369</v>
      </c>
      <c r="B373" s="1">
        <v>236.32924687215029</v>
      </c>
      <c r="C373" s="1">
        <v>542.44200000000001</v>
      </c>
      <c r="D373" s="1">
        <v>1.4304739305479757</v>
      </c>
      <c r="E373" s="1">
        <v>6.6</v>
      </c>
      <c r="F373" s="1" t="s">
        <v>24</v>
      </c>
      <c r="G373" s="1" t="s">
        <v>19</v>
      </c>
      <c r="H373" s="1">
        <v>721.7</v>
      </c>
      <c r="J373" s="1">
        <v>74.099999999999994</v>
      </c>
      <c r="K373" s="1" t="s">
        <v>46</v>
      </c>
      <c r="R373" s="1">
        <v>168.97624687215028</v>
      </c>
      <c r="S373" s="1">
        <v>650.93039999999996</v>
      </c>
      <c r="T373" s="1">
        <v>1.4304739305479757</v>
      </c>
      <c r="U373" s="1">
        <v>6.6</v>
      </c>
      <c r="V373" s="1" t="s">
        <v>24</v>
      </c>
      <c r="W373" s="1" t="s">
        <v>19</v>
      </c>
      <c r="X373" s="1">
        <v>721.7</v>
      </c>
      <c r="Z373" s="1">
        <v>66.69</v>
      </c>
      <c r="AA373" s="1" t="s">
        <v>68</v>
      </c>
    </row>
    <row r="374" spans="1:27" x14ac:dyDescent="0.25">
      <c r="A374" s="1">
        <f t="shared" si="7"/>
        <v>370</v>
      </c>
      <c r="B374" s="1">
        <v>236.44924335268729</v>
      </c>
      <c r="C374" s="1">
        <v>542.43599999999992</v>
      </c>
      <c r="D374" s="1">
        <v>1.138687414774779</v>
      </c>
      <c r="E374" s="1">
        <v>12.9</v>
      </c>
      <c r="F374" s="1" t="s">
        <v>24</v>
      </c>
      <c r="G374" s="1" t="s">
        <v>19</v>
      </c>
      <c r="H374" s="1">
        <v>721.9</v>
      </c>
      <c r="J374" s="1">
        <v>73.099999999999994</v>
      </c>
      <c r="K374" s="1" t="s">
        <v>46</v>
      </c>
      <c r="R374" s="1">
        <v>169.09624335268728</v>
      </c>
      <c r="S374" s="1">
        <v>650.92319999999984</v>
      </c>
      <c r="T374" s="1">
        <v>1.138687414774779</v>
      </c>
      <c r="U374" s="1">
        <v>12.9</v>
      </c>
      <c r="V374" s="1" t="s">
        <v>24</v>
      </c>
      <c r="W374" s="1" t="s">
        <v>19</v>
      </c>
      <c r="X374" s="1">
        <v>721.9</v>
      </c>
      <c r="Z374" s="1">
        <v>65.789999999999992</v>
      </c>
      <c r="AA374" s="1" t="s">
        <v>68</v>
      </c>
    </row>
    <row r="375" spans="1:27" x14ac:dyDescent="0.25">
      <c r="A375" s="1">
        <f t="shared" si="7"/>
        <v>371</v>
      </c>
      <c r="B375" s="1">
        <v>236.44924335268729</v>
      </c>
      <c r="C375" s="1" t="s">
        <v>47</v>
      </c>
      <c r="D375" s="1">
        <v>-902.92131258522522</v>
      </c>
      <c r="E375" s="1">
        <v>9.5</v>
      </c>
      <c r="F375" s="1" t="s">
        <v>36</v>
      </c>
      <c r="G375" s="1" t="s">
        <v>17</v>
      </c>
      <c r="H375" s="1">
        <v>721.9</v>
      </c>
      <c r="J375" s="1">
        <v>76.5</v>
      </c>
      <c r="K375" s="1" t="s">
        <v>46</v>
      </c>
      <c r="R375" s="1">
        <v>169.09624335268728</v>
      </c>
      <c r="S375" s="1" t="e">
        <v>#VALUE!</v>
      </c>
      <c r="T375" s="1">
        <v>-902.92131258522522</v>
      </c>
      <c r="U375" s="1">
        <v>9.5</v>
      </c>
      <c r="V375" s="1" t="s">
        <v>36</v>
      </c>
      <c r="W375" s="1" t="s">
        <v>17</v>
      </c>
      <c r="X375" s="1">
        <v>721.9</v>
      </c>
      <c r="Z375" s="1">
        <v>68.849999999999994</v>
      </c>
      <c r="AA375" s="1" t="s">
        <v>68</v>
      </c>
    </row>
    <row r="376" spans="1:27" x14ac:dyDescent="0.25">
      <c r="A376" s="1">
        <f t="shared" si="7"/>
        <v>372</v>
      </c>
      <c r="B376" s="1">
        <v>169.25084643014728</v>
      </c>
      <c r="C376" s="1" t="s">
        <v>47</v>
      </c>
      <c r="D376" s="1">
        <v>-745.12000000000012</v>
      </c>
      <c r="E376" s="1">
        <v>239.5</v>
      </c>
      <c r="F376" s="1" t="s">
        <v>27</v>
      </c>
      <c r="G376" s="1" t="s">
        <v>17</v>
      </c>
      <c r="H376" s="1">
        <v>609.9</v>
      </c>
      <c r="J376" s="1">
        <v>69</v>
      </c>
      <c r="K376" s="1" t="s">
        <v>46</v>
      </c>
      <c r="R376" s="1">
        <v>101.89784643014728</v>
      </c>
      <c r="S376" s="1" t="e">
        <v>#VALUE!</v>
      </c>
      <c r="T376" s="1">
        <v>-745.12000000000012</v>
      </c>
      <c r="U376" s="1">
        <v>239.5</v>
      </c>
      <c r="V376" s="1" t="s">
        <v>27</v>
      </c>
      <c r="W376" s="1" t="s">
        <v>17</v>
      </c>
      <c r="X376" s="1">
        <v>609.9</v>
      </c>
      <c r="Z376" s="1">
        <v>62.1</v>
      </c>
      <c r="AA376" s="1" t="s">
        <v>68</v>
      </c>
    </row>
    <row r="377" spans="1:27" x14ac:dyDescent="0.25">
      <c r="A377" s="1">
        <f t="shared" si="7"/>
        <v>373</v>
      </c>
      <c r="B377" s="1">
        <v>169.19084701612954</v>
      </c>
      <c r="C377" s="1">
        <v>446.84399999999999</v>
      </c>
      <c r="D377" s="1">
        <v>-0.23910398581000436</v>
      </c>
      <c r="E377" s="1">
        <v>312.3</v>
      </c>
      <c r="F377" s="1" t="s">
        <v>28</v>
      </c>
      <c r="G377" s="1" t="s">
        <v>33</v>
      </c>
      <c r="H377" s="1">
        <v>609.79999999999995</v>
      </c>
      <c r="J377" s="1">
        <v>69.400000000000006</v>
      </c>
      <c r="K377" s="1" t="s">
        <v>46</v>
      </c>
      <c r="R377" s="1">
        <v>101.83784701612954</v>
      </c>
      <c r="S377" s="1">
        <v>536.21280000000002</v>
      </c>
      <c r="T377" s="1">
        <v>-0.23910398581000436</v>
      </c>
      <c r="U377" s="1">
        <v>312.3</v>
      </c>
      <c r="V377" s="1" t="s">
        <v>28</v>
      </c>
      <c r="W377" s="1" t="s">
        <v>33</v>
      </c>
      <c r="X377" s="1">
        <v>609.79999999999995</v>
      </c>
      <c r="Z377" s="1">
        <v>62.460000000000008</v>
      </c>
      <c r="AA377" s="1" t="s">
        <v>68</v>
      </c>
    </row>
    <row r="378" spans="1:27" x14ac:dyDescent="0.25">
      <c r="A378" s="1">
        <f t="shared" si="7"/>
        <v>374</v>
      </c>
      <c r="B378" s="1">
        <v>167.3908667280796</v>
      </c>
      <c r="C378" s="1" t="s">
        <v>47</v>
      </c>
      <c r="D378" s="1">
        <v>-740.75222856779635</v>
      </c>
      <c r="F378" s="1" t="s">
        <v>27</v>
      </c>
      <c r="G378" s="1" t="s">
        <v>17</v>
      </c>
      <c r="H378" s="1">
        <v>606.79999999999995</v>
      </c>
      <c r="J378" s="1">
        <v>70.3</v>
      </c>
      <c r="K378" s="1" t="s">
        <v>46</v>
      </c>
      <c r="R378" s="1">
        <v>100.03786672807961</v>
      </c>
      <c r="S378" s="1" t="e">
        <v>#VALUE!</v>
      </c>
      <c r="T378" s="1">
        <v>-740.75222856779635</v>
      </c>
      <c r="V378" s="1" t="s">
        <v>27</v>
      </c>
      <c r="W378" s="1" t="s">
        <v>17</v>
      </c>
      <c r="X378" s="1">
        <v>606.79999999999995</v>
      </c>
      <c r="Z378" s="1">
        <v>63.27</v>
      </c>
      <c r="AA378" s="1" t="s">
        <v>68</v>
      </c>
    </row>
    <row r="379" spans="1:27" x14ac:dyDescent="0.25">
      <c r="A379" s="1">
        <f t="shared" si="7"/>
        <v>375</v>
      </c>
      <c r="B379" s="1">
        <v>169.25084643014728</v>
      </c>
      <c r="C379" s="1" t="s">
        <v>47</v>
      </c>
      <c r="D379" s="1">
        <v>-745.12000000000012</v>
      </c>
      <c r="F379" s="1" t="s">
        <v>27</v>
      </c>
      <c r="G379" s="1" t="s">
        <v>17</v>
      </c>
      <c r="H379" s="1">
        <v>609.9</v>
      </c>
      <c r="J379" s="1">
        <v>69.8</v>
      </c>
      <c r="K379" s="1" t="s">
        <v>46</v>
      </c>
      <c r="R379" s="1">
        <v>101.89784643014728</v>
      </c>
      <c r="S379" s="1" t="e">
        <v>#VALUE!</v>
      </c>
      <c r="T379" s="1">
        <v>-745.12000000000012</v>
      </c>
      <c r="V379" s="1" t="s">
        <v>27</v>
      </c>
      <c r="W379" s="1" t="s">
        <v>17</v>
      </c>
      <c r="X379" s="1">
        <v>609.9</v>
      </c>
      <c r="Z379" s="1">
        <v>62.82</v>
      </c>
      <c r="AA379" s="1" t="s">
        <v>68</v>
      </c>
    </row>
    <row r="380" spans="1:27" x14ac:dyDescent="0.25">
      <c r="A380" s="1">
        <f t="shared" si="7"/>
        <v>376</v>
      </c>
      <c r="B380" s="1">
        <v>169.25084643014728</v>
      </c>
      <c r="C380" s="1">
        <v>446.64599999999996</v>
      </c>
      <c r="D380" s="1">
        <v>-0.71000000000009322</v>
      </c>
      <c r="E380" s="1">
        <v>180.5</v>
      </c>
      <c r="F380" s="1" t="s">
        <v>24</v>
      </c>
      <c r="G380" s="1" t="s">
        <v>25</v>
      </c>
      <c r="H380" s="1">
        <v>609.9</v>
      </c>
      <c r="J380" s="1">
        <v>69.3</v>
      </c>
      <c r="K380" s="1" t="s">
        <v>46</v>
      </c>
      <c r="R380" s="1">
        <v>101.89784643014728</v>
      </c>
      <c r="S380" s="1">
        <v>535.97519999999997</v>
      </c>
      <c r="T380" s="1">
        <v>-0.71000000000009322</v>
      </c>
      <c r="U380" s="1">
        <v>180.5</v>
      </c>
      <c r="V380" s="1" t="s">
        <v>24</v>
      </c>
      <c r="W380" s="1" t="s">
        <v>25</v>
      </c>
      <c r="X380" s="1">
        <v>609.9</v>
      </c>
      <c r="Z380" s="1">
        <v>62.37</v>
      </c>
      <c r="AA380" s="1" t="s">
        <v>68</v>
      </c>
    </row>
    <row r="381" spans="1:27" x14ac:dyDescent="0.25">
      <c r="A381" s="1">
        <f t="shared" si="7"/>
        <v>377</v>
      </c>
      <c r="B381" s="1">
        <v>167.27086819472916</v>
      </c>
      <c r="C381" s="1" t="s">
        <v>47</v>
      </c>
      <c r="D381" s="1">
        <v>-740.47043723142212</v>
      </c>
      <c r="F381" s="1" t="s">
        <v>22</v>
      </c>
      <c r="G381" s="1" t="s">
        <v>17</v>
      </c>
      <c r="H381" s="1">
        <v>606.6</v>
      </c>
      <c r="J381" s="1">
        <v>69.599999999999994</v>
      </c>
      <c r="K381" s="1" t="s">
        <v>46</v>
      </c>
      <c r="R381" s="1">
        <v>99.917868194729166</v>
      </c>
      <c r="S381" s="1" t="e">
        <v>#VALUE!</v>
      </c>
      <c r="T381" s="1">
        <v>-740.47043723142212</v>
      </c>
      <c r="V381" s="1" t="s">
        <v>22</v>
      </c>
      <c r="W381" s="1" t="s">
        <v>17</v>
      </c>
      <c r="X381" s="1">
        <v>606.6</v>
      </c>
      <c r="Z381" s="1">
        <v>62.639999999999993</v>
      </c>
      <c r="AA381" s="1" t="s">
        <v>68</v>
      </c>
    </row>
    <row r="382" spans="1:27" x14ac:dyDescent="0.25">
      <c r="A382" s="1">
        <f t="shared" si="7"/>
        <v>378</v>
      </c>
      <c r="B382" s="1">
        <v>165.23089626331574</v>
      </c>
      <c r="C382" s="1" t="s">
        <v>47</v>
      </c>
      <c r="D382" s="1">
        <v>-735.67999187622831</v>
      </c>
      <c r="F382" s="1" t="s">
        <v>22</v>
      </c>
      <c r="G382" s="1" t="s">
        <v>17</v>
      </c>
      <c r="H382" s="1">
        <v>603.20000000000005</v>
      </c>
      <c r="J382" s="1">
        <v>69.7</v>
      </c>
      <c r="K382" s="1" t="s">
        <v>46</v>
      </c>
      <c r="R382" s="1">
        <v>97.877896263315748</v>
      </c>
      <c r="S382" s="1" t="e">
        <v>#VALUE!</v>
      </c>
      <c r="T382" s="1">
        <v>-735.67999187622831</v>
      </c>
      <c r="V382" s="1" t="s">
        <v>22</v>
      </c>
      <c r="W382" s="1" t="s">
        <v>17</v>
      </c>
      <c r="X382" s="1">
        <v>603.20000000000005</v>
      </c>
      <c r="Z382" s="1">
        <v>62.73</v>
      </c>
      <c r="AA382" s="1" t="s">
        <v>68</v>
      </c>
    </row>
    <row r="383" spans="1:27" x14ac:dyDescent="0.25">
      <c r="A383" s="1">
        <f t="shared" si="7"/>
        <v>379</v>
      </c>
      <c r="B383" s="1">
        <v>165.35089444243584</v>
      </c>
      <c r="C383" s="1" t="s">
        <v>47</v>
      </c>
      <c r="D383" s="1">
        <v>-735.96178238076698</v>
      </c>
      <c r="F383" s="1" t="s">
        <v>22</v>
      </c>
      <c r="G383" s="1" t="s">
        <v>17</v>
      </c>
      <c r="H383" s="1">
        <v>603.4</v>
      </c>
      <c r="J383" s="1">
        <v>69.599999999999994</v>
      </c>
      <c r="K383" s="1" t="s">
        <v>46</v>
      </c>
      <c r="R383" s="1">
        <v>97.99789444243585</v>
      </c>
      <c r="S383" s="1" t="e">
        <v>#VALUE!</v>
      </c>
      <c r="T383" s="1">
        <v>-735.96178238076698</v>
      </c>
      <c r="V383" s="1" t="s">
        <v>22</v>
      </c>
      <c r="W383" s="1" t="s">
        <v>17</v>
      </c>
      <c r="X383" s="1">
        <v>603.4</v>
      </c>
      <c r="Z383" s="1">
        <v>62.639999999999993</v>
      </c>
      <c r="AA383" s="1" t="s">
        <v>68</v>
      </c>
    </row>
    <row r="384" spans="1:27" x14ac:dyDescent="0.25">
      <c r="A384" s="1">
        <f t="shared" si="7"/>
        <v>380</v>
      </c>
      <c r="B384" s="1">
        <v>169.31084584857541</v>
      </c>
      <c r="C384" s="1">
        <v>446.74200000000002</v>
      </c>
      <c r="D384" s="1">
        <v>-0.69089602454687338</v>
      </c>
      <c r="E384" s="1">
        <v>160.5</v>
      </c>
      <c r="F384" s="1" t="s">
        <v>24</v>
      </c>
      <c r="G384" s="1" t="s">
        <v>25</v>
      </c>
      <c r="H384" s="1">
        <v>610</v>
      </c>
      <c r="J384" s="1">
        <v>69.2</v>
      </c>
      <c r="K384" s="1" t="s">
        <v>46</v>
      </c>
      <c r="R384" s="1">
        <v>101.95784584857542</v>
      </c>
      <c r="S384" s="1">
        <v>536.09040000000005</v>
      </c>
      <c r="T384" s="1">
        <v>-0.69089602454687338</v>
      </c>
      <c r="U384" s="1">
        <v>160.5</v>
      </c>
      <c r="V384" s="1" t="s">
        <v>24</v>
      </c>
      <c r="W384" s="1" t="s">
        <v>25</v>
      </c>
      <c r="X384" s="1">
        <v>610</v>
      </c>
      <c r="Z384" s="1">
        <v>62.28</v>
      </c>
      <c r="AA384" s="1" t="s">
        <v>68</v>
      </c>
    </row>
    <row r="385" spans="1:27" x14ac:dyDescent="0.25">
      <c r="A385" s="1">
        <f t="shared" si="7"/>
        <v>381</v>
      </c>
      <c r="B385" s="1">
        <v>480.78</v>
      </c>
      <c r="C385" s="1">
        <v>872.05799999999999</v>
      </c>
      <c r="D385" s="1">
        <v>-23.250745393281079</v>
      </c>
      <c r="E385" s="1">
        <v>45.7</v>
      </c>
      <c r="F385" s="1" t="s">
        <v>38</v>
      </c>
      <c r="G385" s="1" t="s">
        <v>19</v>
      </c>
      <c r="H385" s="1">
        <v>1146</v>
      </c>
      <c r="I385" s="1" t="s">
        <v>16</v>
      </c>
      <c r="K385" s="1" t="s">
        <v>42</v>
      </c>
      <c r="R385" s="1">
        <v>413.42699999999996</v>
      </c>
      <c r="S385" s="1">
        <v>1046.4695999999999</v>
      </c>
      <c r="T385" s="1">
        <v>-23.250745393281079</v>
      </c>
      <c r="U385" s="1">
        <v>45.7</v>
      </c>
      <c r="V385" s="1" t="s">
        <v>38</v>
      </c>
      <c r="W385" s="1" t="s">
        <v>19</v>
      </c>
      <c r="X385" s="1">
        <v>1146</v>
      </c>
      <c r="Y385" s="1" t="s">
        <v>16</v>
      </c>
      <c r="Z385" s="1">
        <v>0</v>
      </c>
      <c r="AA385" s="1" t="s">
        <v>68</v>
      </c>
    </row>
    <row r="386" spans="1:27" x14ac:dyDescent="0.25">
      <c r="A386" s="1">
        <f t="shared" si="7"/>
        <v>382</v>
      </c>
      <c r="B386" s="1">
        <v>180.07325934431316</v>
      </c>
      <c r="C386" s="1">
        <v>464.15999999999997</v>
      </c>
      <c r="D386" s="1">
        <v>3.0658377371227061</v>
      </c>
      <c r="E386" s="1">
        <v>54.5</v>
      </c>
      <c r="F386" s="1" t="s">
        <v>38</v>
      </c>
      <c r="G386" s="1" t="s">
        <v>19</v>
      </c>
      <c r="H386" s="1">
        <v>636.4</v>
      </c>
      <c r="I386" s="1" t="s">
        <v>23</v>
      </c>
      <c r="K386" s="1" t="s">
        <v>43</v>
      </c>
      <c r="R386" s="1">
        <v>112.72025934431316</v>
      </c>
      <c r="S386" s="1">
        <v>556.99199999999996</v>
      </c>
      <c r="T386" s="1">
        <v>3.0658377371227061</v>
      </c>
      <c r="U386" s="1">
        <v>54.5</v>
      </c>
      <c r="V386" s="1" t="s">
        <v>38</v>
      </c>
      <c r="W386" s="1" t="s">
        <v>19</v>
      </c>
      <c r="X386" s="1">
        <v>636.4</v>
      </c>
      <c r="Y386" s="1" t="s">
        <v>23</v>
      </c>
      <c r="Z386" s="1">
        <v>0</v>
      </c>
      <c r="AA386" s="1" t="s">
        <v>68</v>
      </c>
    </row>
    <row r="387" spans="1:27" x14ac:dyDescent="0.25">
      <c r="A387" s="1">
        <f t="shared" si="7"/>
        <v>383</v>
      </c>
      <c r="B387" s="1">
        <v>509.66582315445311</v>
      </c>
      <c r="C387" s="1">
        <v>902.82</v>
      </c>
      <c r="D387" s="1">
        <v>-39.813030352871522</v>
      </c>
      <c r="E387" s="1">
        <v>4.5</v>
      </c>
      <c r="F387" s="1" t="s">
        <v>38</v>
      </c>
      <c r="G387" s="1" t="s">
        <v>19</v>
      </c>
      <c r="H387" s="1">
        <v>1177.3</v>
      </c>
      <c r="J387" s="1">
        <v>94.7</v>
      </c>
      <c r="K387" s="1" t="s">
        <v>46</v>
      </c>
      <c r="R387" s="1">
        <v>442.3128231544531</v>
      </c>
      <c r="S387" s="1">
        <v>1083.384</v>
      </c>
      <c r="T387" s="1">
        <v>-39.813030352871522</v>
      </c>
      <c r="U387" s="1">
        <v>4.5</v>
      </c>
      <c r="V387" s="1" t="s">
        <v>38</v>
      </c>
      <c r="W387" s="1" t="s">
        <v>19</v>
      </c>
      <c r="X387" s="1">
        <v>1177.3</v>
      </c>
      <c r="Z387" s="1">
        <v>85.23</v>
      </c>
      <c r="AA387" s="1" t="s">
        <v>68</v>
      </c>
    </row>
    <row r="388" spans="1:27" x14ac:dyDescent="0.25">
      <c r="A388" s="1">
        <f t="shared" si="7"/>
        <v>384</v>
      </c>
      <c r="B388" s="1">
        <v>256.90854056223742</v>
      </c>
      <c r="C388" s="1">
        <v>570.64200000000005</v>
      </c>
      <c r="D388" s="1">
        <v>0.10432769649531792</v>
      </c>
      <c r="E388" s="1">
        <v>600</v>
      </c>
      <c r="F388" s="1" t="s">
        <v>38</v>
      </c>
      <c r="G388" s="1" t="s">
        <v>19</v>
      </c>
      <c r="H388" s="1">
        <v>756</v>
      </c>
      <c r="K388" s="1" t="s">
        <v>46</v>
      </c>
      <c r="R388" s="1">
        <v>189.55554056223741</v>
      </c>
      <c r="S388" s="1">
        <v>684.7704</v>
      </c>
      <c r="T388" s="1">
        <v>0.10432769649531792</v>
      </c>
      <c r="U388" s="1">
        <v>600</v>
      </c>
      <c r="V388" s="1" t="s">
        <v>38</v>
      </c>
      <c r="W388" s="1" t="s">
        <v>19</v>
      </c>
      <c r="X388" s="1">
        <v>756</v>
      </c>
      <c r="Z388" s="1">
        <v>0</v>
      </c>
      <c r="AA388" s="1" t="s">
        <v>68</v>
      </c>
    </row>
    <row r="389" spans="1:27" x14ac:dyDescent="0.25">
      <c r="A389" s="1">
        <f t="shared" si="7"/>
        <v>385</v>
      </c>
      <c r="B389" s="1">
        <v>169.31084584857541</v>
      </c>
      <c r="C389" s="1">
        <v>447.27000000000004</v>
      </c>
      <c r="D389" s="1">
        <v>0.18910397545312208</v>
      </c>
      <c r="E389" s="1">
        <v>1194</v>
      </c>
      <c r="F389" s="1" t="s">
        <v>38</v>
      </c>
      <c r="G389" s="1" t="s">
        <v>19</v>
      </c>
      <c r="H389" s="1">
        <v>610</v>
      </c>
      <c r="K389" s="1" t="s">
        <v>46</v>
      </c>
      <c r="R389" s="1">
        <v>101.95784584857542</v>
      </c>
      <c r="S389" s="1">
        <v>536.72400000000005</v>
      </c>
      <c r="T389" s="1">
        <v>0.18910397545312208</v>
      </c>
      <c r="U389" s="1">
        <v>1194</v>
      </c>
      <c r="V389" s="1" t="s">
        <v>38</v>
      </c>
      <c r="W389" s="1" t="s">
        <v>19</v>
      </c>
      <c r="X389" s="1">
        <v>610</v>
      </c>
      <c r="Z389" s="1">
        <v>0</v>
      </c>
      <c r="AA389" s="1" t="s">
        <v>68</v>
      </c>
    </row>
    <row r="390" spans="1:27" x14ac:dyDescent="0.25">
      <c r="A390" s="1">
        <f t="shared" ref="A390:A411" si="8">1+A389</f>
        <v>386</v>
      </c>
      <c r="B390" s="1">
        <v>442.73999999999995</v>
      </c>
      <c r="C390" s="1">
        <v>830.37599999999998</v>
      </c>
      <c r="D390" s="1">
        <v>-3.3917999771966265</v>
      </c>
      <c r="E390" s="1">
        <v>14</v>
      </c>
      <c r="F390" s="1" t="s">
        <v>39</v>
      </c>
      <c r="G390" s="1" t="s">
        <v>19</v>
      </c>
      <c r="H390" s="1">
        <v>1082.5999999999999</v>
      </c>
      <c r="I390" s="1" t="s">
        <v>16</v>
      </c>
      <c r="K390" s="1" t="s">
        <v>42</v>
      </c>
      <c r="R390" s="1">
        <v>375.38699999999994</v>
      </c>
      <c r="S390" s="1">
        <v>996.45119999999997</v>
      </c>
      <c r="T390" s="1">
        <v>-3.3917999771966265</v>
      </c>
      <c r="U390" s="1">
        <v>14</v>
      </c>
      <c r="V390" s="1" t="s">
        <v>39</v>
      </c>
      <c r="W390" s="1" t="s">
        <v>19</v>
      </c>
      <c r="X390" s="1">
        <v>1082.5999999999999</v>
      </c>
      <c r="Y390" s="1" t="s">
        <v>16</v>
      </c>
      <c r="Z390" s="1">
        <v>0</v>
      </c>
      <c r="AA390" s="1" t="s">
        <v>68</v>
      </c>
    </row>
    <row r="391" spans="1:27" x14ac:dyDescent="0.25">
      <c r="A391" s="1">
        <f t="shared" si="8"/>
        <v>387</v>
      </c>
      <c r="B391" s="1">
        <v>428.93999999999988</v>
      </c>
      <c r="C391" s="1">
        <v>810.40200000000004</v>
      </c>
      <c r="D391" s="1">
        <v>-4.2754002205725214</v>
      </c>
      <c r="E391" s="1">
        <v>25</v>
      </c>
      <c r="F391" s="1" t="s">
        <v>39</v>
      </c>
      <c r="G391" s="1" t="s">
        <v>19</v>
      </c>
      <c r="H391" s="1">
        <v>1059.2</v>
      </c>
      <c r="I391" s="1" t="s">
        <v>16</v>
      </c>
      <c r="K391" s="1" t="s">
        <v>42</v>
      </c>
      <c r="R391" s="1">
        <v>361.58699999999988</v>
      </c>
      <c r="S391" s="1">
        <v>972.48239999999998</v>
      </c>
      <c r="T391" s="1">
        <v>-4.2754002205725214</v>
      </c>
      <c r="U391" s="1">
        <v>25</v>
      </c>
      <c r="V391" s="1" t="s">
        <v>39</v>
      </c>
      <c r="W391" s="1" t="s">
        <v>19</v>
      </c>
      <c r="X391" s="1">
        <v>1059.2</v>
      </c>
      <c r="Y391" s="1" t="s">
        <v>16</v>
      </c>
      <c r="Z391" s="1">
        <v>0</v>
      </c>
      <c r="AA391" s="1" t="s">
        <v>68</v>
      </c>
    </row>
    <row r="392" spans="1:27" x14ac:dyDescent="0.25">
      <c r="A392" s="1">
        <f t="shared" si="8"/>
        <v>388</v>
      </c>
      <c r="B392" s="1">
        <v>468.50069511810011</v>
      </c>
      <c r="C392" s="1">
        <v>850.91399999999999</v>
      </c>
      <c r="D392" s="1">
        <v>-29.655378528331369</v>
      </c>
      <c r="E392" s="1">
        <v>312</v>
      </c>
      <c r="F392" s="1" t="s">
        <v>39</v>
      </c>
      <c r="G392" s="1" t="s">
        <v>25</v>
      </c>
      <c r="H392" s="1">
        <v>1140</v>
      </c>
      <c r="I392" s="1" t="s">
        <v>23</v>
      </c>
      <c r="K392" s="1" t="s">
        <v>43</v>
      </c>
      <c r="R392" s="1">
        <v>401.1476951181001</v>
      </c>
      <c r="S392" s="1">
        <v>1021.0967999999999</v>
      </c>
      <c r="T392" s="1">
        <v>-29.655378528331369</v>
      </c>
      <c r="U392" s="1">
        <v>312</v>
      </c>
      <c r="V392" s="1" t="s">
        <v>39</v>
      </c>
      <c r="W392" s="1" t="s">
        <v>25</v>
      </c>
      <c r="X392" s="1">
        <v>1140</v>
      </c>
      <c r="Y392" s="1" t="s">
        <v>23</v>
      </c>
      <c r="Z392" s="1">
        <v>0</v>
      </c>
      <c r="AA392" s="1" t="s">
        <v>68</v>
      </c>
    </row>
    <row r="393" spans="1:27" x14ac:dyDescent="0.25">
      <c r="A393" s="1">
        <f t="shared" si="8"/>
        <v>389</v>
      </c>
      <c r="B393" s="1">
        <v>452.89871989788679</v>
      </c>
      <c r="C393" s="1">
        <v>833.45399999999995</v>
      </c>
      <c r="D393" s="1">
        <v>-22.117418674768317</v>
      </c>
      <c r="E393" s="1">
        <v>39.700000000000003</v>
      </c>
      <c r="F393" s="1" t="s">
        <v>39</v>
      </c>
      <c r="G393" s="1" t="s">
        <v>25</v>
      </c>
      <c r="H393" s="1">
        <v>1112.5999999999999</v>
      </c>
      <c r="I393" s="1" t="s">
        <v>23</v>
      </c>
      <c r="K393" s="1" t="s">
        <v>43</v>
      </c>
      <c r="R393" s="1">
        <v>385.54571989788678</v>
      </c>
      <c r="S393" s="1">
        <v>1000.1447999999999</v>
      </c>
      <c r="T393" s="1">
        <v>-22.117418674768317</v>
      </c>
      <c r="U393" s="1">
        <v>39.700000000000003</v>
      </c>
      <c r="V393" s="1" t="s">
        <v>39</v>
      </c>
      <c r="W393" s="1" t="s">
        <v>25</v>
      </c>
      <c r="X393" s="1">
        <v>1112.5999999999999</v>
      </c>
      <c r="Y393" s="1" t="s">
        <v>23</v>
      </c>
      <c r="Z393" s="1">
        <v>0</v>
      </c>
      <c r="AA393" s="1" t="s">
        <v>68</v>
      </c>
    </row>
    <row r="394" spans="1:27" x14ac:dyDescent="0.25">
      <c r="A394" s="1">
        <f t="shared" si="8"/>
        <v>390</v>
      </c>
      <c r="B394" s="1">
        <v>452.89871989788679</v>
      </c>
      <c r="C394" s="1">
        <v>833.45399999999995</v>
      </c>
      <c r="D394" s="1">
        <v>-22.117418674768317</v>
      </c>
      <c r="E394" s="1">
        <v>39.700000000000003</v>
      </c>
      <c r="F394" s="1" t="s">
        <v>39</v>
      </c>
      <c r="G394" s="1" t="s">
        <v>19</v>
      </c>
      <c r="H394" s="1">
        <v>1112.5999999999999</v>
      </c>
      <c r="I394" s="1" t="s">
        <v>23</v>
      </c>
      <c r="K394" s="1" t="s">
        <v>43</v>
      </c>
      <c r="R394" s="1">
        <v>385.54571989788678</v>
      </c>
      <c r="S394" s="1">
        <v>1000.1447999999999</v>
      </c>
      <c r="T394" s="1">
        <v>-22.117418674768317</v>
      </c>
      <c r="U394" s="1">
        <v>39.700000000000003</v>
      </c>
      <c r="V394" s="1" t="s">
        <v>39</v>
      </c>
      <c r="W394" s="1" t="s">
        <v>19</v>
      </c>
      <c r="X394" s="1">
        <v>1112.5999999999999</v>
      </c>
      <c r="Y394" s="1" t="s">
        <v>23</v>
      </c>
      <c r="Z394" s="1">
        <v>0</v>
      </c>
      <c r="AA394" s="1" t="s">
        <v>68</v>
      </c>
    </row>
    <row r="395" spans="1:27" x14ac:dyDescent="0.25">
      <c r="A395" s="1">
        <f t="shared" si="8"/>
        <v>391</v>
      </c>
      <c r="B395" s="1">
        <v>399.07551867515525</v>
      </c>
      <c r="C395" s="1">
        <v>775.596</v>
      </c>
      <c r="D395" s="1">
        <v>7.8450577748723731</v>
      </c>
      <c r="E395" s="1">
        <v>13.4</v>
      </c>
      <c r="F395" s="1" t="s">
        <v>39</v>
      </c>
      <c r="G395" s="1" t="s">
        <v>25</v>
      </c>
      <c r="H395" s="1">
        <v>1018.2</v>
      </c>
      <c r="I395" s="1" t="s">
        <v>23</v>
      </c>
      <c r="K395" s="1" t="s">
        <v>43</v>
      </c>
      <c r="R395" s="1">
        <v>331.72251867515524</v>
      </c>
      <c r="S395" s="1">
        <v>930.71519999999998</v>
      </c>
      <c r="T395" s="1">
        <v>7.8450577748723731</v>
      </c>
      <c r="U395" s="1">
        <v>13.4</v>
      </c>
      <c r="V395" s="1" t="s">
        <v>39</v>
      </c>
      <c r="W395" s="1" t="s">
        <v>25</v>
      </c>
      <c r="X395" s="1">
        <v>1018.2</v>
      </c>
      <c r="Y395" s="1" t="s">
        <v>23</v>
      </c>
      <c r="Z395" s="1">
        <v>0</v>
      </c>
      <c r="AA395" s="1" t="s">
        <v>68</v>
      </c>
    </row>
    <row r="396" spans="1:27" x14ac:dyDescent="0.25">
      <c r="A396" s="1">
        <f t="shared" si="8"/>
        <v>392</v>
      </c>
      <c r="B396" s="1">
        <v>152.90292424026225</v>
      </c>
      <c r="C396" s="1">
        <v>427.45199999999994</v>
      </c>
      <c r="D396" s="1">
        <v>5.6896595417096023</v>
      </c>
      <c r="E396" s="1">
        <v>452.6</v>
      </c>
      <c r="F396" s="1" t="s">
        <v>39</v>
      </c>
      <c r="G396" s="1" t="s">
        <v>25</v>
      </c>
      <c r="H396" s="1">
        <v>590.5</v>
      </c>
      <c r="I396" s="1" t="s">
        <v>23</v>
      </c>
      <c r="K396" s="1" t="s">
        <v>43</v>
      </c>
      <c r="R396" s="1">
        <v>85.549924240262257</v>
      </c>
      <c r="S396" s="1">
        <v>512.94239999999991</v>
      </c>
      <c r="T396" s="1">
        <v>5.6896595417096023</v>
      </c>
      <c r="U396" s="1">
        <v>452.6</v>
      </c>
      <c r="V396" s="1" t="s">
        <v>39</v>
      </c>
      <c r="W396" s="1" t="s">
        <v>25</v>
      </c>
      <c r="X396" s="1">
        <v>590.5</v>
      </c>
      <c r="Y396" s="1" t="s">
        <v>23</v>
      </c>
      <c r="Z396" s="1">
        <v>0</v>
      </c>
      <c r="AA396" s="1" t="s">
        <v>68</v>
      </c>
    </row>
    <row r="397" spans="1:27" x14ac:dyDescent="0.25">
      <c r="A397" s="1">
        <f t="shared" si="8"/>
        <v>393</v>
      </c>
      <c r="B397" s="1">
        <v>130.86178201600134</v>
      </c>
      <c r="C397" s="1">
        <v>403.08</v>
      </c>
      <c r="D397" s="1">
        <v>16.828649832434166</v>
      </c>
      <c r="E397" s="1">
        <v>757.1</v>
      </c>
      <c r="F397" s="1" t="s">
        <v>39</v>
      </c>
      <c r="G397" s="1" t="s">
        <v>19</v>
      </c>
      <c r="H397" s="1">
        <v>553.5</v>
      </c>
      <c r="I397" s="1" t="s">
        <v>23</v>
      </c>
      <c r="K397" s="1" t="s">
        <v>43</v>
      </c>
      <c r="R397" s="1">
        <v>63.508782016001348</v>
      </c>
      <c r="S397" s="1">
        <v>483.69599999999997</v>
      </c>
      <c r="T397" s="1">
        <v>16.828649832434166</v>
      </c>
      <c r="U397" s="1">
        <v>757.1</v>
      </c>
      <c r="V397" s="1" t="s">
        <v>39</v>
      </c>
      <c r="W397" s="1" t="s">
        <v>19</v>
      </c>
      <c r="X397" s="1">
        <v>553.5</v>
      </c>
      <c r="Y397" s="1" t="s">
        <v>23</v>
      </c>
      <c r="Z397" s="1">
        <v>0</v>
      </c>
      <c r="AA397" s="1" t="s">
        <v>68</v>
      </c>
    </row>
    <row r="398" spans="1:27" x14ac:dyDescent="0.25">
      <c r="A398" s="1">
        <f t="shared" si="8"/>
        <v>394</v>
      </c>
      <c r="B398" s="1">
        <v>232.43050848638762</v>
      </c>
      <c r="C398" s="1">
        <v>547.65599999999995</v>
      </c>
      <c r="D398" s="1">
        <v>19.275841660658045</v>
      </c>
      <c r="E398" s="1">
        <v>17.600000000000001</v>
      </c>
      <c r="F398" s="1" t="s">
        <v>39</v>
      </c>
      <c r="G398" s="1" t="s">
        <v>19</v>
      </c>
      <c r="H398" s="1">
        <v>737.2</v>
      </c>
      <c r="I398" s="1" t="s">
        <v>34</v>
      </c>
      <c r="K398" s="1" t="s">
        <v>44</v>
      </c>
      <c r="R398" s="1">
        <v>165.07750848638761</v>
      </c>
      <c r="S398" s="1">
        <v>657.18719999999996</v>
      </c>
      <c r="T398" s="1">
        <v>19.275841660658045</v>
      </c>
      <c r="U398" s="1">
        <v>17.600000000000001</v>
      </c>
      <c r="V398" s="1" t="s">
        <v>39</v>
      </c>
      <c r="W398" s="1" t="s">
        <v>19</v>
      </c>
      <c r="X398" s="1">
        <v>737.2</v>
      </c>
      <c r="Y398" s="1" t="s">
        <v>34</v>
      </c>
      <c r="Z398" s="1">
        <v>0</v>
      </c>
      <c r="AA398" s="1" t="s">
        <v>68</v>
      </c>
    </row>
    <row r="399" spans="1:27" x14ac:dyDescent="0.25">
      <c r="A399" s="1">
        <f t="shared" si="8"/>
        <v>395</v>
      </c>
      <c r="B399" s="1">
        <v>439.9010358958987</v>
      </c>
      <c r="C399" s="1">
        <v>819.67199999999991</v>
      </c>
      <c r="D399" s="1">
        <v>-14.5650894226888</v>
      </c>
      <c r="E399" s="1">
        <v>4.8</v>
      </c>
      <c r="F399" s="1" t="s">
        <v>39</v>
      </c>
      <c r="G399" s="1" t="s">
        <v>19</v>
      </c>
      <c r="H399" s="1">
        <v>1083</v>
      </c>
      <c r="I399" s="1" t="s">
        <v>34</v>
      </c>
      <c r="K399" s="1" t="s">
        <v>44</v>
      </c>
      <c r="R399" s="1">
        <v>372.54803589589869</v>
      </c>
      <c r="S399" s="1">
        <v>983.60639999999989</v>
      </c>
      <c r="T399" s="1">
        <v>-14.5650894226888</v>
      </c>
      <c r="U399" s="1">
        <v>4.8</v>
      </c>
      <c r="V399" s="1" t="s">
        <v>39</v>
      </c>
      <c r="W399" s="1" t="s">
        <v>19</v>
      </c>
      <c r="X399" s="1">
        <v>1083</v>
      </c>
      <c r="Y399" s="1" t="s">
        <v>34</v>
      </c>
      <c r="Z399" s="1">
        <v>0</v>
      </c>
      <c r="AA399" s="1" t="s">
        <v>68</v>
      </c>
    </row>
    <row r="400" spans="1:27" x14ac:dyDescent="0.25">
      <c r="A400" s="1">
        <f t="shared" si="8"/>
        <v>396</v>
      </c>
      <c r="B400" s="1">
        <v>370.30292441592889</v>
      </c>
      <c r="C400" s="1">
        <v>741.89400000000001</v>
      </c>
      <c r="D400" s="1">
        <v>19.24144847049746</v>
      </c>
      <c r="E400" s="1">
        <v>3.8</v>
      </c>
      <c r="F400" s="1" t="s">
        <v>39</v>
      </c>
      <c r="G400" s="1" t="s">
        <v>19</v>
      </c>
      <c r="H400" s="1">
        <v>967</v>
      </c>
      <c r="I400" s="1" t="s">
        <v>34</v>
      </c>
      <c r="K400" s="1" t="s">
        <v>44</v>
      </c>
      <c r="R400" s="1">
        <v>302.94992441592888</v>
      </c>
      <c r="S400" s="1">
        <v>890.27279999999996</v>
      </c>
      <c r="T400" s="1">
        <v>19.24144847049746</v>
      </c>
      <c r="U400" s="1">
        <v>3.8</v>
      </c>
      <c r="V400" s="1" t="s">
        <v>39</v>
      </c>
      <c r="W400" s="1" t="s">
        <v>19</v>
      </c>
      <c r="X400" s="1">
        <v>967</v>
      </c>
      <c r="Y400" s="1" t="s">
        <v>34</v>
      </c>
      <c r="Z400" s="1">
        <v>0</v>
      </c>
      <c r="AA400" s="1" t="s">
        <v>68</v>
      </c>
    </row>
    <row r="401" spans="1:27" x14ac:dyDescent="0.25">
      <c r="A401" s="1">
        <f t="shared" si="8"/>
        <v>397</v>
      </c>
      <c r="B401" s="1">
        <v>470.25299947382723</v>
      </c>
      <c r="C401" s="1">
        <v>852.72</v>
      </c>
      <c r="D401" s="1">
        <v>-30.760297038981037</v>
      </c>
      <c r="E401" s="1">
        <v>28.3</v>
      </c>
      <c r="F401" s="1" t="s">
        <v>39</v>
      </c>
      <c r="G401" s="1" t="s">
        <v>25</v>
      </c>
      <c r="H401" s="1">
        <v>1111.5999999999999</v>
      </c>
      <c r="J401" s="1">
        <v>88.1</v>
      </c>
      <c r="K401" s="1" t="s">
        <v>46</v>
      </c>
      <c r="R401" s="1">
        <v>402.89999947382722</v>
      </c>
      <c r="S401" s="1">
        <v>1023.264</v>
      </c>
      <c r="T401" s="1">
        <v>-30.760297038981037</v>
      </c>
      <c r="U401" s="1">
        <v>28.3</v>
      </c>
      <c r="V401" s="1" t="s">
        <v>39</v>
      </c>
      <c r="W401" s="1" t="s">
        <v>25</v>
      </c>
      <c r="X401" s="1">
        <v>1111.5999999999999</v>
      </c>
      <c r="Z401" s="1">
        <v>79.289999999999992</v>
      </c>
      <c r="AA401" s="1" t="s">
        <v>68</v>
      </c>
    </row>
    <row r="402" spans="1:27" x14ac:dyDescent="0.25">
      <c r="A402" s="1">
        <f t="shared" si="8"/>
        <v>398</v>
      </c>
      <c r="B402" s="1">
        <v>470.25299947382723</v>
      </c>
      <c r="C402" s="1">
        <v>852.72</v>
      </c>
      <c r="D402" s="1">
        <v>-30.760297038981037</v>
      </c>
      <c r="E402" s="1">
        <v>28.3</v>
      </c>
      <c r="F402" s="1" t="s">
        <v>39</v>
      </c>
      <c r="G402" s="1" t="s">
        <v>19</v>
      </c>
      <c r="H402" s="1">
        <v>1111.5999999999999</v>
      </c>
      <c r="J402" s="1">
        <v>88.1</v>
      </c>
      <c r="K402" s="1" t="s">
        <v>46</v>
      </c>
      <c r="R402" s="1">
        <v>402.89999947382722</v>
      </c>
      <c r="S402" s="1">
        <v>1023.264</v>
      </c>
      <c r="T402" s="1">
        <v>-30.760297038981037</v>
      </c>
      <c r="U402" s="1">
        <v>28.3</v>
      </c>
      <c r="V402" s="1" t="s">
        <v>39</v>
      </c>
      <c r="W402" s="1" t="s">
        <v>19</v>
      </c>
      <c r="X402" s="1">
        <v>1111.5999999999999</v>
      </c>
      <c r="Z402" s="1">
        <v>79.289999999999992</v>
      </c>
      <c r="AA402" s="1" t="s">
        <v>68</v>
      </c>
    </row>
    <row r="403" spans="1:27" x14ac:dyDescent="0.25">
      <c r="A403" s="1">
        <f t="shared" si="8"/>
        <v>399</v>
      </c>
      <c r="B403" s="1">
        <v>491.48928361582728</v>
      </c>
      <c r="C403" s="1">
        <v>876.9</v>
      </c>
      <c r="D403" s="1">
        <v>-40.329247274553666</v>
      </c>
      <c r="E403" s="1">
        <v>10.8</v>
      </c>
      <c r="F403" s="1" t="s">
        <v>39</v>
      </c>
      <c r="G403" s="1" t="s">
        <v>25</v>
      </c>
      <c r="H403" s="1">
        <v>1147</v>
      </c>
      <c r="J403" s="1">
        <v>93.2</v>
      </c>
      <c r="K403" s="1" t="s">
        <v>46</v>
      </c>
      <c r="R403" s="1">
        <v>424.13628361582727</v>
      </c>
      <c r="S403" s="1">
        <v>1052.28</v>
      </c>
      <c r="T403" s="1">
        <v>-40.329247274553666</v>
      </c>
      <c r="U403" s="1">
        <v>10.8</v>
      </c>
      <c r="V403" s="1" t="s">
        <v>39</v>
      </c>
      <c r="W403" s="1" t="s">
        <v>25</v>
      </c>
      <c r="X403" s="1">
        <v>1147</v>
      </c>
      <c r="Z403" s="1">
        <v>83.88</v>
      </c>
      <c r="AA403" s="1" t="s">
        <v>68</v>
      </c>
    </row>
    <row r="404" spans="1:27" x14ac:dyDescent="0.25">
      <c r="A404" s="1">
        <f t="shared" si="8"/>
        <v>400</v>
      </c>
      <c r="B404" s="1">
        <v>244.18898055064074</v>
      </c>
      <c r="C404" s="1">
        <v>553.50599999999997</v>
      </c>
      <c r="D404" s="1">
        <v>1.4135412083914503</v>
      </c>
      <c r="E404" s="1">
        <v>18.100000000000001</v>
      </c>
      <c r="F404" s="1" t="s">
        <v>39</v>
      </c>
      <c r="G404" s="1" t="s">
        <v>19</v>
      </c>
      <c r="H404" s="1">
        <v>734.8</v>
      </c>
      <c r="J404" s="1" t="s">
        <v>40</v>
      </c>
      <c r="K404" s="1" t="s">
        <v>46</v>
      </c>
      <c r="R404" s="1">
        <v>176.83598055064073</v>
      </c>
      <c r="S404" s="1">
        <v>664.20719999999994</v>
      </c>
      <c r="T404" s="1">
        <v>1.4135412083914503</v>
      </c>
      <c r="U404" s="1">
        <v>18.100000000000001</v>
      </c>
      <c r="V404" s="1" t="s">
        <v>39</v>
      </c>
      <c r="W404" s="1" t="s">
        <v>19</v>
      </c>
      <c r="X404" s="1">
        <v>734.8</v>
      </c>
      <c r="Z404" s="1" t="e">
        <v>#VALUE!</v>
      </c>
      <c r="AA404" s="1" t="s">
        <v>68</v>
      </c>
    </row>
    <row r="405" spans="1:27" x14ac:dyDescent="0.25">
      <c r="A405" s="1">
        <f t="shared" si="8"/>
        <v>401</v>
      </c>
      <c r="B405" s="1">
        <v>243.70899777809618</v>
      </c>
      <c r="C405" s="1">
        <v>546.26400000000001</v>
      </c>
      <c r="D405" s="1">
        <v>-9.5293201246975627</v>
      </c>
      <c r="F405" s="1" t="s">
        <v>39</v>
      </c>
      <c r="G405" s="1" t="s">
        <v>19</v>
      </c>
      <c r="H405" s="1">
        <v>734</v>
      </c>
      <c r="J405" s="1">
        <v>74.599999999999994</v>
      </c>
      <c r="K405" s="1" t="s">
        <v>46</v>
      </c>
      <c r="R405" s="1">
        <v>176.3559977780962</v>
      </c>
      <c r="S405" s="1">
        <v>655.51679999999999</v>
      </c>
      <c r="T405" s="1">
        <v>-9.5293201246975627</v>
      </c>
      <c r="V405" s="1" t="s">
        <v>39</v>
      </c>
      <c r="W405" s="1" t="s">
        <v>19</v>
      </c>
      <c r="X405" s="1">
        <v>734</v>
      </c>
      <c r="Z405" s="1">
        <v>67.139999999999986</v>
      </c>
      <c r="AA405" s="1" t="s">
        <v>68</v>
      </c>
    </row>
    <row r="406" spans="1:27" x14ac:dyDescent="0.25">
      <c r="A406" s="1">
        <f t="shared" si="8"/>
        <v>402</v>
      </c>
      <c r="B406" s="1">
        <v>236.44924335268729</v>
      </c>
      <c r="C406" s="1">
        <v>542.43599999999992</v>
      </c>
      <c r="D406" s="1">
        <v>1.138687414774779</v>
      </c>
      <c r="E406" s="1">
        <v>9.5</v>
      </c>
      <c r="F406" s="1" t="s">
        <v>39</v>
      </c>
      <c r="G406" s="1" t="s">
        <v>19</v>
      </c>
      <c r="H406" s="1">
        <v>721.9</v>
      </c>
      <c r="J406" s="1">
        <v>76.599999999999994</v>
      </c>
      <c r="K406" s="1" t="s">
        <v>46</v>
      </c>
      <c r="R406" s="1">
        <v>169.09624335268728</v>
      </c>
      <c r="S406" s="1">
        <v>650.92319999999984</v>
      </c>
      <c r="T406" s="1">
        <v>1.138687414774779</v>
      </c>
      <c r="U406" s="1">
        <v>9.5</v>
      </c>
      <c r="V406" s="1" t="s">
        <v>39</v>
      </c>
      <c r="W406" s="1" t="s">
        <v>19</v>
      </c>
      <c r="X406" s="1">
        <v>721.9</v>
      </c>
      <c r="Z406" s="1">
        <v>68.94</v>
      </c>
      <c r="AA406" s="1" t="s">
        <v>68</v>
      </c>
    </row>
    <row r="407" spans="1:27" x14ac:dyDescent="0.25">
      <c r="A407" s="1">
        <f t="shared" si="8"/>
        <v>403</v>
      </c>
      <c r="B407" s="1">
        <v>344.38528380054049</v>
      </c>
      <c r="C407" s="1">
        <v>652.02</v>
      </c>
      <c r="D407" s="1">
        <v>-69.686419462054289</v>
      </c>
      <c r="E407" s="1">
        <v>16</v>
      </c>
      <c r="F407" s="1" t="s">
        <v>41</v>
      </c>
      <c r="G407" s="1" t="s">
        <v>25</v>
      </c>
      <c r="H407" s="1">
        <v>923.8</v>
      </c>
      <c r="I407" s="1" t="s">
        <v>34</v>
      </c>
      <c r="J407" s="1">
        <v>65.739999999999995</v>
      </c>
      <c r="K407" s="1" t="s">
        <v>44</v>
      </c>
      <c r="R407" s="1">
        <v>277.03228380054048</v>
      </c>
      <c r="S407" s="1">
        <v>782.42399999999998</v>
      </c>
      <c r="T407" s="1">
        <v>-69.686419462054289</v>
      </c>
      <c r="U407" s="1">
        <v>16</v>
      </c>
      <c r="V407" s="1" t="s">
        <v>41</v>
      </c>
      <c r="W407" s="1" t="s">
        <v>25</v>
      </c>
      <c r="X407" s="1">
        <v>923.8</v>
      </c>
      <c r="Y407" s="1" t="s">
        <v>34</v>
      </c>
      <c r="Z407" s="1">
        <v>59.165999999999997</v>
      </c>
      <c r="AA407" s="1" t="s">
        <v>68</v>
      </c>
    </row>
    <row r="408" spans="1:27" x14ac:dyDescent="0.25">
      <c r="A408" s="1">
        <f t="shared" si="8"/>
        <v>404</v>
      </c>
      <c r="B408" s="1">
        <v>344.38528380054049</v>
      </c>
      <c r="C408" s="1">
        <v>652.02</v>
      </c>
      <c r="D408" s="1">
        <v>-69.686419462054289</v>
      </c>
      <c r="E408" s="1">
        <v>16</v>
      </c>
      <c r="F408" s="1" t="s">
        <v>41</v>
      </c>
      <c r="G408" s="1" t="s">
        <v>19</v>
      </c>
      <c r="H408" s="1">
        <v>923.8</v>
      </c>
      <c r="I408" s="1" t="s">
        <v>34</v>
      </c>
      <c r="J408" s="1">
        <v>65.67</v>
      </c>
      <c r="K408" s="1" t="s">
        <v>44</v>
      </c>
      <c r="R408" s="1">
        <v>277.03228380054048</v>
      </c>
      <c r="S408" s="1">
        <v>782.42399999999998</v>
      </c>
      <c r="T408" s="1">
        <v>-69.686419462054289</v>
      </c>
      <c r="U408" s="1">
        <v>16</v>
      </c>
      <c r="V408" s="1" t="s">
        <v>41</v>
      </c>
      <c r="W408" s="1" t="s">
        <v>19</v>
      </c>
      <c r="X408" s="1">
        <v>923.8</v>
      </c>
      <c r="Y408" s="1" t="s">
        <v>34</v>
      </c>
      <c r="Z408" s="1">
        <v>59.103000000000002</v>
      </c>
      <c r="AA408" s="1" t="s">
        <v>68</v>
      </c>
    </row>
    <row r="409" spans="1:27" x14ac:dyDescent="0.25">
      <c r="A409" s="1">
        <f t="shared" si="8"/>
        <v>405</v>
      </c>
      <c r="B409" s="1">
        <v>106.55254569229398</v>
      </c>
      <c r="C409" s="1">
        <v>369.84</v>
      </c>
      <c r="D409" s="1">
        <v>18.513782447238498</v>
      </c>
      <c r="E409" s="1">
        <v>2168</v>
      </c>
      <c r="F409" s="1" t="s">
        <v>41</v>
      </c>
      <c r="G409" s="1" t="s">
        <v>25</v>
      </c>
      <c r="H409" s="1">
        <v>527.4</v>
      </c>
      <c r="I409" s="1" t="s">
        <v>34</v>
      </c>
      <c r="J409" s="1">
        <v>66.7</v>
      </c>
      <c r="K409" s="1" t="s">
        <v>44</v>
      </c>
      <c r="R409" s="1">
        <v>39.199545692293981</v>
      </c>
      <c r="S409" s="1">
        <v>443.80799999999994</v>
      </c>
      <c r="T409" s="1">
        <v>18.513782447238498</v>
      </c>
      <c r="U409" s="1">
        <v>2168</v>
      </c>
      <c r="V409" s="1" t="s">
        <v>41</v>
      </c>
      <c r="W409" s="1" t="s">
        <v>25</v>
      </c>
      <c r="X409" s="1">
        <v>527.4</v>
      </c>
      <c r="Y409" s="1" t="s">
        <v>34</v>
      </c>
      <c r="Z409" s="1">
        <v>60.03</v>
      </c>
      <c r="AA409" s="1" t="s">
        <v>68</v>
      </c>
    </row>
    <row r="410" spans="1:27" x14ac:dyDescent="0.25">
      <c r="A410" s="1">
        <f t="shared" si="8"/>
        <v>406</v>
      </c>
      <c r="B410" s="1">
        <v>212.21100360125328</v>
      </c>
      <c r="C410" s="1">
        <v>504.84</v>
      </c>
      <c r="D410" s="1">
        <v>-4.6029004995832565</v>
      </c>
      <c r="E410" s="1">
        <v>188.2</v>
      </c>
      <c r="F410" s="1" t="s">
        <v>41</v>
      </c>
      <c r="G410" s="1" t="s">
        <v>19</v>
      </c>
      <c r="H410" s="1">
        <v>703.5</v>
      </c>
      <c r="I410" s="1" t="s">
        <v>34</v>
      </c>
      <c r="J410" s="1">
        <v>75.8</v>
      </c>
      <c r="K410" s="1" t="s">
        <v>44</v>
      </c>
      <c r="R410" s="1">
        <v>144.8580036012533</v>
      </c>
      <c r="S410" s="1">
        <v>605.80799999999999</v>
      </c>
      <c r="T410" s="1">
        <v>-4.6029004995832565</v>
      </c>
      <c r="U410" s="1">
        <v>188.2</v>
      </c>
      <c r="V410" s="1" t="s">
        <v>41</v>
      </c>
      <c r="W410" s="1" t="s">
        <v>19</v>
      </c>
      <c r="X410" s="1">
        <v>703.5</v>
      </c>
      <c r="Y410" s="1" t="s">
        <v>34</v>
      </c>
      <c r="Z410" s="1">
        <v>68.22</v>
      </c>
      <c r="AA410" s="1" t="s">
        <v>68</v>
      </c>
    </row>
    <row r="411" spans="1:27" x14ac:dyDescent="0.25">
      <c r="A411" s="1">
        <f t="shared" si="8"/>
        <v>407</v>
      </c>
      <c r="B411" s="1">
        <v>212.21100360125328</v>
      </c>
      <c r="C411" s="1">
        <v>503.75400000000002</v>
      </c>
      <c r="D411" s="1">
        <v>-6.412900499583202</v>
      </c>
      <c r="E411" s="1">
        <v>188.2</v>
      </c>
      <c r="F411" s="1" t="s">
        <v>41</v>
      </c>
      <c r="G411" s="1" t="s">
        <v>25</v>
      </c>
      <c r="H411" s="1">
        <v>703.5</v>
      </c>
      <c r="I411" s="1" t="s">
        <v>34</v>
      </c>
      <c r="J411" s="1">
        <v>65.099999999999994</v>
      </c>
      <c r="K411" s="1" t="s">
        <v>44</v>
      </c>
      <c r="R411" s="1">
        <v>144.8580036012533</v>
      </c>
      <c r="S411" s="1">
        <v>604.50480000000005</v>
      </c>
      <c r="T411" s="1">
        <v>-6.412900499583202</v>
      </c>
      <c r="U411" s="1">
        <v>188.2</v>
      </c>
      <c r="V411" s="1" t="s">
        <v>41</v>
      </c>
      <c r="W411" s="1" t="s">
        <v>25</v>
      </c>
      <c r="X411" s="1">
        <v>703.5</v>
      </c>
      <c r="Y411" s="1" t="s">
        <v>34</v>
      </c>
      <c r="Z411" s="1">
        <v>58.589999999999989</v>
      </c>
      <c r="AA411" s="1" t="s">
        <v>68</v>
      </c>
    </row>
  </sheetData>
  <autoFilter ref="B4:K411" xr:uid="{493812A2-BC1F-44BE-B550-D10497B1457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Danos</dc:creator>
  <cp:lastModifiedBy>Konstantin Danos</cp:lastModifiedBy>
  <dcterms:created xsi:type="dcterms:W3CDTF">2019-10-25T09:23:11Z</dcterms:created>
  <dcterms:modified xsi:type="dcterms:W3CDTF">2026-10-27T09:17:37Z</dcterms:modified>
</cp:coreProperties>
</file>